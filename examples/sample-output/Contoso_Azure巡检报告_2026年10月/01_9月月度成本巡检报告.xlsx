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wez\AppData\Local\Temp\azinspect-sample-jluf97rf\2026-09\reports\"/>
    </mc:Choice>
  </mc:AlternateContent>
  <xr:revisionPtr revIDLastSave="0" documentId="13_ncr:1_{7D6E0BEF-AD1A-4C38-B2BF-3F1D02FFA4AF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月度总览" sheetId="1" r:id="rId1"/>
    <sheet name="图表" sheetId="2" r:id="rId2"/>
    <sheet name="订阅对比" sheetId="3" r:id="rId3"/>
    <sheet name="业务组对比" sheetId="4" r:id="rId4"/>
    <sheet name="服务对比" sheetId="5" r:id="rId5"/>
    <sheet name="区域对比" sheetId="6" r:id="rId6"/>
    <sheet name="变化原因拆解" sheetId="7" r:id="rId7"/>
    <sheet name="主要计量变化" sheetId="8" r:id="rId8"/>
    <sheet name="增长与下降来源" sheetId="9" r:id="rId9"/>
    <sheet name="资源组对比" sheetId="10" r:id="rId10"/>
    <sheet name="9月资源费用" sheetId="11" r:id="rId11"/>
    <sheet name="每日费用" sheetId="12" r:id="rId12"/>
    <sheet name="10月费用预测" sheetId="13" r:id="rId13"/>
    <sheet name="分摊与计价方式" sheetId="14" r:id="rId14"/>
    <sheet name="RI与SP" sheetId="15" r:id="rId15"/>
    <sheet name="Azure购买建议" sheetId="16" r:id="rId16"/>
    <sheet name="建议与跟踪" sheetId="17" r:id="rId17"/>
    <sheet name="数据库与缓存用量" sheetId="18" r:id="rId18"/>
    <sheet name="存储容量与层级" sheetId="19" r:id="rId19"/>
    <sheet name="日志摄取与保留" sheetId="20" r:id="rId20"/>
    <sheet name="预算检查" sheetId="21" r:id="rId21"/>
    <sheet name="数据覆盖与说明" sheetId="22" r:id="rId22"/>
  </sheets>
  <definedNames>
    <definedName name="_xlnm._FilterDatabase" localSheetId="12" hidden="1">'10月费用预测'!$A$3:$I$9</definedName>
    <definedName name="_xlnm._FilterDatabase" localSheetId="10" hidden="1">'9月资源费用'!$A$3:$F$42</definedName>
    <definedName name="_xlnm._FilterDatabase" localSheetId="15" hidden="1">Azure购买建议!$A$3:$J$6</definedName>
    <definedName name="_xlnm._FilterDatabase" localSheetId="14" hidden="1">RI与SP!$A$3:$I$6</definedName>
    <definedName name="_xlnm._FilterDatabase" localSheetId="3" hidden="1">业务组对比!$A$3:$H$7</definedName>
    <definedName name="_xlnm._FilterDatabase" localSheetId="7" hidden="1">主要计量变化!$A$3:$K$19</definedName>
    <definedName name="_xlnm._FilterDatabase" localSheetId="13" hidden="1">分摊与计价方式!$A$3:$C$18</definedName>
    <definedName name="_xlnm._FilterDatabase" localSheetId="5" hidden="1">区域对比!$A$3:$I$6</definedName>
    <definedName name="_xlnm._FilterDatabase" localSheetId="6" hidden="1">变化原因拆解!$A$3:$L$14</definedName>
    <definedName name="_xlnm._FilterDatabase" localSheetId="1" hidden="1">图表!$A$3:$J$89</definedName>
    <definedName name="_xlnm._FilterDatabase" localSheetId="8" hidden="1">增长与下降来源!$A$3:$H$25</definedName>
    <definedName name="_xlnm._FilterDatabase" localSheetId="18" hidden="1">存储容量与层级!$A$3:$M$6</definedName>
    <definedName name="_xlnm._FilterDatabase" localSheetId="16" hidden="1">建议与跟踪!$A$3:$L$12</definedName>
    <definedName name="_xlnm._FilterDatabase" localSheetId="17" hidden="1">数据库与缓存用量!$A$3:$M$9</definedName>
    <definedName name="_xlnm._FilterDatabase" localSheetId="21" hidden="1">数据覆盖与说明!$A$3:$B$29</definedName>
    <definedName name="_xlnm._FilterDatabase" localSheetId="19" hidden="1">日志摄取与保留!$A$3:$H$5</definedName>
    <definedName name="_xlnm._FilterDatabase" localSheetId="0" hidden="1">月度总览!$A$3:$C$14</definedName>
    <definedName name="_xlnm._FilterDatabase" localSheetId="4" hidden="1">服务对比!$A$3:$H$15</definedName>
    <definedName name="_xlnm._FilterDatabase" localSheetId="11" hidden="1">每日费用!$A$3:$C$34</definedName>
    <definedName name="_xlnm._FilterDatabase" localSheetId="2" hidden="1">订阅对比!$A$3:$M$9</definedName>
    <definedName name="_xlnm._FilterDatabase" localSheetId="9" hidden="1">资源组对比!$A$3:$F$8</definedName>
    <definedName name="_xlnm._FilterDatabase" localSheetId="20" hidden="1">预算检查!$A$3:$I$4</definedName>
    <definedName name="_xlnm.Print_Titles" localSheetId="12">'10月费用预测'!$1:$3</definedName>
    <definedName name="_xlnm.Print_Titles" localSheetId="10">'9月资源费用'!$1:$3</definedName>
    <definedName name="_xlnm.Print_Titles" localSheetId="15">Azure购买建议!$1:$3</definedName>
    <definedName name="_xlnm.Print_Titles" localSheetId="14">RI与SP!$1:$3</definedName>
    <definedName name="_xlnm.Print_Titles" localSheetId="3">业务组对比!$1:$3</definedName>
    <definedName name="_xlnm.Print_Titles" localSheetId="7">主要计量变化!$1:$3</definedName>
    <definedName name="_xlnm.Print_Titles" localSheetId="13">分摊与计价方式!$1:$3</definedName>
    <definedName name="_xlnm.Print_Titles" localSheetId="5">区域对比!$1:$3</definedName>
    <definedName name="_xlnm.Print_Titles" localSheetId="6">变化原因拆解!$1:$3</definedName>
    <definedName name="_xlnm.Print_Titles" localSheetId="1">图表!$1:$3</definedName>
    <definedName name="_xlnm.Print_Titles" localSheetId="8">增长与下降来源!$1:$3</definedName>
    <definedName name="_xlnm.Print_Titles" localSheetId="18">存储容量与层级!$1:$3</definedName>
    <definedName name="_xlnm.Print_Titles" localSheetId="16">建议与跟踪!$1:$3</definedName>
    <definedName name="_xlnm.Print_Titles" localSheetId="17">数据库与缓存用量!$1:$3</definedName>
    <definedName name="_xlnm.Print_Titles" localSheetId="21">数据覆盖与说明!$1:$3</definedName>
    <definedName name="_xlnm.Print_Titles" localSheetId="19">日志摄取与保留!$1:$3</definedName>
    <definedName name="_xlnm.Print_Titles" localSheetId="0">月度总览!$1:$3</definedName>
    <definedName name="_xlnm.Print_Titles" localSheetId="4">服务对比!$1:$3</definedName>
    <definedName name="_xlnm.Print_Titles" localSheetId="11">每日费用!$1:$3</definedName>
    <definedName name="_xlnm.Print_Titles" localSheetId="2">订阅对比!$1:$3</definedName>
    <definedName name="_xlnm.Print_Titles" localSheetId="9">资源组对比!$1:$3</definedName>
    <definedName name="_xlnm.Print_Titles" localSheetId="20">预算检查!$1:$3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3" l="1"/>
  <c r="F9" i="13"/>
  <c r="D9" i="13"/>
  <c r="C9" i="13"/>
  <c r="E8" i="13"/>
  <c r="G8" i="13" s="1"/>
  <c r="E7" i="13"/>
  <c r="G7" i="13" s="1"/>
  <c r="E6" i="13"/>
  <c r="G6" i="13" s="1"/>
  <c r="E5" i="13"/>
  <c r="E4" i="13"/>
  <c r="G4" i="13" s="1"/>
  <c r="E8" i="10"/>
  <c r="E7" i="10"/>
  <c r="E6" i="10"/>
  <c r="E5" i="10"/>
  <c r="E4" i="10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K14" i="7"/>
  <c r="E14" i="7"/>
  <c r="K13" i="7"/>
  <c r="E13" i="7"/>
  <c r="K12" i="7"/>
  <c r="E12" i="7"/>
  <c r="K11" i="7"/>
  <c r="E11" i="7"/>
  <c r="K10" i="7"/>
  <c r="E10" i="7"/>
  <c r="K9" i="7"/>
  <c r="E9" i="7"/>
  <c r="K8" i="7"/>
  <c r="E8" i="7"/>
  <c r="K7" i="7"/>
  <c r="E7" i="7"/>
  <c r="K6" i="7"/>
  <c r="E6" i="7"/>
  <c r="K5" i="7"/>
  <c r="E5" i="7"/>
  <c r="K4" i="7"/>
  <c r="E4" i="7"/>
  <c r="C6" i="6"/>
  <c r="B6" i="6"/>
  <c r="G5" i="6"/>
  <c r="F5" i="6"/>
  <c r="E5" i="6"/>
  <c r="D5" i="6"/>
  <c r="G4" i="6"/>
  <c r="F4" i="6"/>
  <c r="E4" i="6"/>
  <c r="D4" i="6"/>
  <c r="G15" i="5"/>
  <c r="H15" i="5" s="1"/>
  <c r="F15" i="5"/>
  <c r="E15" i="5"/>
  <c r="D15" i="5"/>
  <c r="G14" i="5"/>
  <c r="F14" i="5"/>
  <c r="E14" i="5"/>
  <c r="D14" i="5"/>
  <c r="G13" i="5"/>
  <c r="F13" i="5"/>
  <c r="E13" i="5"/>
  <c r="D13" i="5"/>
  <c r="G12" i="5"/>
  <c r="H12" i="5" s="1"/>
  <c r="F12" i="5"/>
  <c r="E12" i="5"/>
  <c r="D12" i="5"/>
  <c r="G11" i="5"/>
  <c r="F11" i="5"/>
  <c r="E11" i="5"/>
  <c r="D11" i="5"/>
  <c r="G10" i="5"/>
  <c r="F10" i="5"/>
  <c r="E10" i="5"/>
  <c r="D10" i="5"/>
  <c r="G9" i="5"/>
  <c r="H9" i="5" s="1"/>
  <c r="F9" i="5"/>
  <c r="E9" i="5"/>
  <c r="D9" i="5"/>
  <c r="G8" i="5"/>
  <c r="F8" i="5"/>
  <c r="E8" i="5"/>
  <c r="D8" i="5"/>
  <c r="G7" i="5"/>
  <c r="F7" i="5"/>
  <c r="E7" i="5"/>
  <c r="D7" i="5"/>
  <c r="G6" i="5"/>
  <c r="F6" i="5"/>
  <c r="E6" i="5"/>
  <c r="D6" i="5"/>
  <c r="G5" i="5"/>
  <c r="H5" i="5" s="1"/>
  <c r="F5" i="5"/>
  <c r="E5" i="5"/>
  <c r="D5" i="5"/>
  <c r="G4" i="5"/>
  <c r="H4" i="5" s="1"/>
  <c r="F4" i="5"/>
  <c r="E4" i="5"/>
  <c r="D4" i="5"/>
  <c r="G7" i="4"/>
  <c r="H7" i="4" s="1"/>
  <c r="F7" i="4"/>
  <c r="E7" i="4"/>
  <c r="D7" i="4"/>
  <c r="G6" i="4"/>
  <c r="H6" i="4" s="1"/>
  <c r="F6" i="4"/>
  <c r="E6" i="4"/>
  <c r="D6" i="4"/>
  <c r="G5" i="4"/>
  <c r="H5" i="4" s="1"/>
  <c r="F5" i="4"/>
  <c r="E5" i="4"/>
  <c r="D5" i="4"/>
  <c r="G4" i="4"/>
  <c r="H4" i="4" s="1"/>
  <c r="F4" i="4"/>
  <c r="E4" i="4"/>
  <c r="D4" i="4"/>
  <c r="H8" i="3"/>
  <c r="I8" i="3" s="1"/>
  <c r="G8" i="3"/>
  <c r="F8" i="3"/>
  <c r="E8" i="3"/>
  <c r="H7" i="3"/>
  <c r="I7" i="3" s="1"/>
  <c r="G7" i="3"/>
  <c r="F7" i="3"/>
  <c r="E7" i="3"/>
  <c r="H6" i="3"/>
  <c r="G6" i="3"/>
  <c r="F6" i="3"/>
  <c r="E6" i="3"/>
  <c r="H5" i="3"/>
  <c r="I5" i="3" s="1"/>
  <c r="G5" i="3"/>
  <c r="F5" i="3"/>
  <c r="E5" i="3"/>
  <c r="H4" i="3"/>
  <c r="G4" i="3"/>
  <c r="F4" i="3"/>
  <c r="E4" i="3"/>
  <c r="B6" i="1"/>
  <c r="B10" i="1" s="1"/>
  <c r="B5" i="1"/>
  <c r="H5" i="6" l="1"/>
  <c r="D6" i="6"/>
  <c r="H4" i="6"/>
  <c r="H14" i="5"/>
  <c r="H13" i="5"/>
  <c r="H11" i="5"/>
  <c r="H10" i="5"/>
  <c r="I6" i="3"/>
  <c r="I4" i="3"/>
  <c r="H8" i="5"/>
  <c r="H7" i="5"/>
  <c r="H6" i="5"/>
  <c r="E9" i="13"/>
  <c r="G9" i="13" s="1"/>
  <c r="G5" i="13"/>
  <c r="B9" i="1"/>
  <c r="B11" i="1" s="1"/>
  <c r="B8" i="1"/>
  <c r="B7" i="1"/>
</calcChain>
</file>

<file path=xl/sharedStrings.xml><?xml version="1.0" encoding="utf-8"?>
<sst xmlns="http://schemas.openxmlformats.org/spreadsheetml/2006/main" count="1079" uniqueCount="571">
  <si>
    <t>示例客户：2026年9月成本巡检（对比8月）</t>
  </si>
  <si>
    <t>费用来自Azure Cost Management实际费用，不是官网列表价；优化建议公开报价另行注明为列表价。9月30天，8月31天，日均变化另列。两月对比仅使用两个月均读取成功的5个订阅；读取失败的订阅不记为0。</t>
  </si>
  <si>
    <t>项目</t>
  </si>
  <si>
    <t>结果</t>
  </si>
  <si>
    <t>说明</t>
  </si>
  <si>
    <t>订阅数</t>
  </si>
  <si>
    <t>示例客户纳入巡检且两个月费用都能读取的订阅；另有1个订阅的费用无法读取：订阅未启用（old-lab）</t>
  </si>
  <si>
    <t>9月实际费用USD</t>
  </si>
  <si>
    <t>完整9月查询结果；未核对最终发票税费/信用及后续调整</t>
  </si>
  <si>
    <t>8月实际费用USD</t>
  </si>
  <si>
    <t>完整8月查询结果</t>
  </si>
  <si>
    <t>费用增减USD</t>
  </si>
  <si>
    <t>9月减8月</t>
  </si>
  <si>
    <t>费用变化率</t>
  </si>
  <si>
    <t>与8月费用相比</t>
  </si>
  <si>
    <t>9月日均USD</t>
  </si>
  <si>
    <t>9月总费用/30</t>
  </si>
  <si>
    <t>8月日均USD</t>
  </si>
  <si>
    <t>8月总费用/31</t>
  </si>
  <si>
    <t>日均变化率</t>
  </si>
  <si>
    <t>排除两个月天数差异后比较</t>
  </si>
  <si>
    <t>9月分摊费用USD</t>
  </si>
  <si>
    <t>RI/SP预付费用分配到使用期间；不与实际费用相加</t>
  </si>
  <si>
    <t>数据查询时间</t>
  </si>
  <si>
    <t>2026-10-29T15:57:22.064976+00:00</t>
  </si>
  <si>
    <t>完整月份费用按查询时结果列示</t>
  </si>
  <si>
    <t>10月全月预计USD</t>
  </si>
  <si>
    <t>Azure Cost Management预测：已发生日期为实际，其余为预测，不是账单；见“10月费用预测”</t>
  </si>
  <si>
    <t>9月费用图表</t>
  </si>
  <si>
    <t>图表数据取自本工作簿各页及 Azure 预测；节省金额不在此页。</t>
  </si>
  <si>
    <t>日期</t>
  </si>
  <si>
    <t>8月USD</t>
  </si>
  <si>
    <t>9月USD</t>
  </si>
  <si>
    <t>10月日期</t>
  </si>
  <si>
    <t>10月实际USD</t>
  </si>
  <si>
    <t>10月预测USD</t>
  </si>
  <si>
    <t>08-01</t>
  </si>
  <si>
    <t>10-01</t>
  </si>
  <si>
    <t>8月与9月每日费用（USD）</t>
  </si>
  <si>
    <t>08-02</t>
  </si>
  <si>
    <t>10-02</t>
  </si>
  <si>
    <t>08-03</t>
  </si>
  <si>
    <t>10-03</t>
  </si>
  <si>
    <t>08-04</t>
  </si>
  <si>
    <t>10-04</t>
  </si>
  <si>
    <t>08-05</t>
  </si>
  <si>
    <t>10-05</t>
  </si>
  <si>
    <t>08-06</t>
  </si>
  <si>
    <t>10-06</t>
  </si>
  <si>
    <t>08-07</t>
  </si>
  <si>
    <t>10-07</t>
  </si>
  <si>
    <t>08-08</t>
  </si>
  <si>
    <t>10-08</t>
  </si>
  <si>
    <t>08-09</t>
  </si>
  <si>
    <t>10-09</t>
  </si>
  <si>
    <t>08-10</t>
  </si>
  <si>
    <t>10-10</t>
  </si>
  <si>
    <t>08-11</t>
  </si>
  <si>
    <t>10-11</t>
  </si>
  <si>
    <t>08-12</t>
  </si>
  <si>
    <t>10-12</t>
  </si>
  <si>
    <t>08-13</t>
  </si>
  <si>
    <t>10-13</t>
  </si>
  <si>
    <t>08-14</t>
  </si>
  <si>
    <t>10-14</t>
  </si>
  <si>
    <t>08-15</t>
  </si>
  <si>
    <t>10-15</t>
  </si>
  <si>
    <t>08-16</t>
  </si>
  <si>
    <t>10-16</t>
  </si>
  <si>
    <t>08-17</t>
  </si>
  <si>
    <t>10-17</t>
  </si>
  <si>
    <t>08-18</t>
  </si>
  <si>
    <t>10-18</t>
  </si>
  <si>
    <t>10月每日费用：实际与预测（USD）</t>
  </si>
  <si>
    <t>08-19</t>
  </si>
  <si>
    <t>10-19</t>
  </si>
  <si>
    <t>08-20</t>
  </si>
  <si>
    <t>10-20</t>
  </si>
  <si>
    <t>08-21</t>
  </si>
  <si>
    <t>10-21</t>
  </si>
  <si>
    <t>08-22</t>
  </si>
  <si>
    <t>10-22</t>
  </si>
  <si>
    <t>08-23</t>
  </si>
  <si>
    <t>10-23</t>
  </si>
  <si>
    <t>08-24</t>
  </si>
  <si>
    <t>10-24</t>
  </si>
  <si>
    <t>08-25</t>
  </si>
  <si>
    <t>10-25</t>
  </si>
  <si>
    <t>08-26</t>
  </si>
  <si>
    <t>10-26</t>
  </si>
  <si>
    <t>08-27</t>
  </si>
  <si>
    <t>10-27</t>
  </si>
  <si>
    <t>08-28</t>
  </si>
  <si>
    <t>10-28</t>
  </si>
  <si>
    <t>08-29</t>
  </si>
  <si>
    <t>10-29</t>
  </si>
  <si>
    <t>08-30</t>
  </si>
  <si>
    <t>10-30</t>
  </si>
  <si>
    <t>08-31</t>
  </si>
  <si>
    <t>10-31</t>
  </si>
  <si>
    <t>09-01</t>
  </si>
  <si>
    <t>09-02</t>
  </si>
  <si>
    <t>09-03</t>
  </si>
  <si>
    <t>09-04</t>
  </si>
  <si>
    <t>各业务组8月与9月费用（USD）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</si>
  <si>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</si>
  <si>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</si>
  <si>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</si>
  <si>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</si>
  <si>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</si>
  <si>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</si>
  <si>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</si>
  <si>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</si>
  <si>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</si>
  <si>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</si>
  <si>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</si>
  <si>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</si>
  <si>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</si>
  <si>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</si>
  <si>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</si>
  <si>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</si>
  <si>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</si>
  <si>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费用增减最大的 10 个服务（红色增加，蓝色减少）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</si>
  <si>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</si>
  <si>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</si>
  <si>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</si>
  <si>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</si>
  <si>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</si>
  <si>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</si>
  <si>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</si>
  <si>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</si>
  <si>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</si>
  <si>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业务组</t>
  </si>
  <si>
    <t>电商</t>
  </si>
  <si>
    <t>数据平台</t>
  </si>
  <si>
    <t>支付</t>
  </si>
  <si>
    <t>公共网络</t>
  </si>
  <si>
    <t>费用增减最大的 2 个区域（红色增加，蓝色减少）</t>
  </si>
  <si>
    <t>服务</t>
  </si>
  <si>
    <t>增减USD</t>
  </si>
  <si>
    <t>Azure Database for PostgreSQL</t>
  </si>
  <si>
    <t>Azure OpenAI</t>
  </si>
  <si>
    <t>Log Analytics</t>
  </si>
  <si>
    <t>Storage</t>
  </si>
  <si>
    <t>Azure Database for MySQL</t>
  </si>
  <si>
    <t>Bandwidth</t>
  </si>
  <si>
    <t>Virtual Machines</t>
  </si>
  <si>
    <t>Redis Cache</t>
  </si>
  <si>
    <t>Application Gateway</t>
  </si>
  <si>
    <t>VPN Gateway</t>
  </si>
  <si>
    <t>区域</t>
  </si>
  <si>
    <t>日本东部</t>
  </si>
  <si>
    <t>美国东部</t>
  </si>
  <si>
    <t>各订阅9月与8月实际费用</t>
  </si>
  <si>
    <t>订阅</t>
  </si>
  <si>
    <t>变化率</t>
  </si>
  <si>
    <t>8月读取情况</t>
  </si>
  <si>
    <t>9月读取情况</t>
  </si>
  <si>
    <t>订阅ID</t>
  </si>
  <si>
    <t>shop-prod</t>
  </si>
  <si>
    <t>已读取</t>
  </si>
  <si>
    <t>5a1e0c01-1111-4c2a-9a10-0000000000a1</t>
  </si>
  <si>
    <t>data-prod</t>
  </si>
  <si>
    <t>5a1e0c01-1111-4c2a-9a10-0000000000a4</t>
  </si>
  <si>
    <t>pay-prod</t>
  </si>
  <si>
    <t>5a1e0c01-1111-4c2a-9a10-0000000000a3</t>
  </si>
  <si>
    <t>shared-network</t>
  </si>
  <si>
    <t>5a1e0c01-1111-4c2a-9a10-0000000000a5</t>
  </si>
  <si>
    <t>shop-test</t>
  </si>
  <si>
    <t>5a1e0c01-1111-4c2a-9a10-0000000000a2</t>
  </si>
  <si>
    <t>其他</t>
  </si>
  <si>
    <t>old-lab</t>
  </si>
  <si>
    <t>读取失败，未计为0</t>
  </si>
  <si>
    <t>5a1e0c01-1111-4c2a-9a10-0000000000a6</t>
  </si>
  <si>
    <t>业务组：9月与8月实际费用</t>
  </si>
  <si>
    <t>Azure服务：9月与8月实际费用</t>
  </si>
  <si>
    <t>Azure Kubernetes Service</t>
  </si>
  <si>
    <t>Key Vault</t>
  </si>
  <si>
    <t>按资源所在区域：9月与8月实际费用</t>
  </si>
  <si>
    <t>区域为Azure费用数据中的资源位置；与订阅业务分组不同。5个可读取订阅。</t>
  </si>
  <si>
    <t>9月占比</t>
  </si>
  <si>
    <t>主要服务变化</t>
  </si>
  <si>
    <t>日本东部（ja east）</t>
  </si>
  <si>
    <t>Azure Database for PostgreSQL +573；Log Analytics +375；Virtual Machines -188</t>
  </si>
  <si>
    <t>美国东部（us east）</t>
  </si>
  <si>
    <t>Azure OpenAI +361；Virtual Machines +163；Storage +82</t>
  </si>
  <si>
    <t>合计</t>
  </si>
  <si>
    <t>与订阅对比合计一致</t>
  </si>
  <si>
    <t>主要增长和下降：按资源和计量拆解</t>
  </si>
  <si>
    <t>按资源和计量比较8月与9月的费用与用量。“天数差异”是两个月天数不同的影响；“单位费用变化”按实际费用计算，可能来自价格调整或折扣，账单数据无法区分。</t>
  </si>
  <si>
    <t>新增计量或资源USD</t>
  </si>
  <si>
    <t>停用计量或资源USD</t>
  </si>
  <si>
    <t>日均用量变化USD</t>
  </si>
  <si>
    <t>天数差异USD</t>
  </si>
  <si>
    <t>单位费用变化USD</t>
  </si>
  <si>
    <t>核对：各项合计USD</t>
  </si>
  <si>
    <t>主要原因</t>
  </si>
  <si>
    <t>9 月 8 日新增 pay-pg-prod（4 vCore），属于新上线的对账服务</t>
  </si>
  <si>
    <t>9 月 15 日起 checkout-api 容器开启调试日志，日志量增加约 25%</t>
  </si>
  <si>
    <t>工作日调用量增加约 44%（输入 token 数量增加），单价不变</t>
  </si>
  <si>
    <t>9 月 12 日新增 data-worker-01（D8s_v5），用于新的报表任务</t>
  </si>
  <si>
    <t>日均用量变化 USD +84；天数差异 USD -14；新增计量或资源 USD +12；新增 1 个资源（按账单拆分，业务原因待确认）</t>
  </si>
  <si>
    <t>日均用量变化 USD +11；天数差异 USD -7（按账单拆分，业务原因待确认）</t>
  </si>
  <si>
    <t>shop-web-test-02 于 8 月 20 日释放，9 月不再计费</t>
  </si>
  <si>
    <t>天数差异 USD -51（按账单拆分，业务原因待确认）</t>
  </si>
  <si>
    <t>天数差异 USD -42（按账单拆分，业务原因待确认）</t>
  </si>
  <si>
    <t>天数差异 USD -92；日均用量变化 USD +51（按账单拆分，业务原因待确认）</t>
  </si>
  <si>
    <t>天数差异 USD -59；日均用量变化 USD +33（按账单拆分，业务原因待确认）</t>
  </si>
  <si>
    <t>各变化项中费用变化最大的计量</t>
  </si>
  <si>
    <t>数量为计费数量；同一计量内比较，不同单位不相加。</t>
  </si>
  <si>
    <t>计量类别</t>
  </si>
  <si>
    <t>计量</t>
  </si>
  <si>
    <t>单位</t>
  </si>
  <si>
    <t>8月用量</t>
  </si>
  <si>
    <t>9月用量</t>
  </si>
  <si>
    <t>8月单位费用USD</t>
  </si>
  <si>
    <t>9月单位费用USD</t>
  </si>
  <si>
    <t>Flexible Server General Purpose Ddsv5 Series</t>
  </si>
  <si>
    <t>4 vCore</t>
  </si>
  <si>
    <t>1 Hour</t>
  </si>
  <si>
    <t>Analytics Logs</t>
  </si>
  <si>
    <t>Data Ingestion</t>
  </si>
  <si>
    <t>1 GB</t>
  </si>
  <si>
    <t>gpt-4o-mini Input Tokens</t>
  </si>
  <si>
    <t>1K</t>
  </si>
  <si>
    <t>D8S Series</t>
  </si>
  <si>
    <t>D8s v5</t>
  </si>
  <si>
    <t>E8S Series</t>
  </si>
  <si>
    <t>E8s v5</t>
  </si>
  <si>
    <t>Hot LRS</t>
  </si>
  <si>
    <t>Hot LRS Data Stored</t>
  </si>
  <si>
    <t>1 GB/Month</t>
  </si>
  <si>
    <t>Premium SSD Managed Disks</t>
  </si>
  <si>
    <t>P10 LRS Disk</t>
  </si>
  <si>
    <t>1/Month</t>
  </si>
  <si>
    <t>D4S Series</t>
  </si>
  <si>
    <t>D4s v5</t>
  </si>
  <si>
    <t>8 vCore</t>
  </si>
  <si>
    <t>Inter-Region</t>
  </si>
  <si>
    <t>Data Transfer Out</t>
  </si>
  <si>
    <t>订阅×服务：费用变化来源</t>
  </si>
  <si>
    <t>费用变化能定位到服务和资源；是否由业务量、数量或价格变化引起，需结合业务证据确认。</t>
  </si>
  <si>
    <t>资源组：9月与8月实际费用</t>
  </si>
  <si>
    <t>未归属资源组的费用单独列示，不猜测资源归属。</t>
  </si>
  <si>
    <t>资源组</t>
  </si>
  <si>
    <t>data-rg</t>
  </si>
  <si>
    <t>pay-rg</t>
  </si>
  <si>
    <t>shop-rg</t>
  </si>
  <si>
    <t>shop-test-rg</t>
  </si>
  <si>
    <t>network-rg</t>
  </si>
  <si>
    <t>9月资源级费用</t>
  </si>
  <si>
    <t>部分购买、服务级或未分配费用没有资源ID；完整费用以订阅/服务总额为准。</t>
  </si>
  <si>
    <t>资源</t>
  </si>
  <si>
    <t>资源ID</t>
  </si>
  <si>
    <t>shop-logs</t>
  </si>
  <si>
    <t>/subscriptions/5a1e0c01-1111-4c2a-9a10-0000000000a1/resourcegroups/shop-rg/providers/microsoft.operationalinsights/workspaces/shop-logs</t>
  </si>
  <si>
    <t>shop-appgw</t>
  </si>
  <si>
    <t>/subscriptions/5a1e0c01-1111-4c2a-9a10-0000000000a1/resourcegroups/shop-rg/providers/microsoft.network/applicationgateways/shop-appgw</t>
  </si>
  <si>
    <t>data-logs</t>
  </si>
  <si>
    <t>/subscriptions/5a1e0c01-1111-4c2a-9a10-0000000000a4/resourcegroups/data-rg/providers/microsoft.operationalinsights/workspaces/data-logs</t>
  </si>
  <si>
    <t>data-pg-prod</t>
  </si>
  <si>
    <t>/subscriptions/5a1e0c01-1111-4c2a-9a10-0000000000a4/resourcegroups/data-rg/providers/microsoft.dbforpostgresql/flexibleservers/data-pg-prod</t>
  </si>
  <si>
    <t>data-openai</t>
  </si>
  <si>
    <t>/subscriptions/5a1e0c01-1111-4c2a-9a10-0000000000a4/resourcegroups/data-rg/providers/microsoft.cognitiveservices/accounts/data-openai</t>
  </si>
  <si>
    <t>shop-mysql-prod</t>
  </si>
  <si>
    <t>/subscriptions/5a1e0c01-1111-4c2a-9a10-0000000000a1/resourcegroups/shop-rg/providers/microsoft.dbformysql/flexibleservers/shop-mysql-prod</t>
  </si>
  <si>
    <t>pay-mysql-prod</t>
  </si>
  <si>
    <t>/subscriptions/5a1e0c01-1111-4c2a-9a10-0000000000a3/resourcegroups/pay-rg/providers/microsoft.dbformysql/flexibleservers/pay-mysql-prod</t>
  </si>
  <si>
    <t>pay-pg-prod</t>
  </si>
  <si>
    <t>/subscriptions/5a1e0c01-1111-4c2a-9a10-0000000000a3/resourcegroups/pay-rg/providers/microsoft.dbforpostgresql/flexibleservers/pay-pg-prod</t>
  </si>
  <si>
    <t>datalakeraw</t>
  </si>
  <si>
    <t>/subscriptions/5a1e0c01-1111-4c2a-9a10-0000000000a4/resourcegroups/data-rg/providers/microsoft.storage/storageaccounts/datalakeraw</t>
  </si>
  <si>
    <t>shop-search-01</t>
  </si>
  <si>
    <t>/subscriptions/5a1e0c01-1111-4c2a-9a10-0000000000a1/resourcegroups/shop-rg/providers/microsoft.compute/virtualmachines/shop-search-01</t>
  </si>
  <si>
    <t>shop-redis-prod</t>
  </si>
  <si>
    <t>/subscriptions/5a1e0c01-1111-4c2a-9a10-0000000000a1/resourcegroups/shop-rg/providers/microsoft.cache/redis/shop-redis-prod</t>
  </si>
  <si>
    <t>data-etl-01</t>
  </si>
  <si>
    <t>/subscriptions/5a1e0c01-1111-4c2a-9a10-0000000000a4/resourcegroups/data-rg/providers/microsoft.compute/virtualmachines/data-etl-01</t>
  </si>
  <si>
    <t>shop-batch-01</t>
  </si>
  <si>
    <t>/subscriptions/5a1e0c01-1111-4c2a-9a10-0000000000a1/resourcegroups/shop-rg/providers/microsoft.compute/virtualmachines/shop-batch-01</t>
  </si>
  <si>
    <t>shared-vpn</t>
  </si>
  <si>
    <t>/subscriptions/5a1e0c01-1111-4c2a-9a10-0000000000a5/resourcegroups/network-rg/providers/microsoft.network/virtualnetworkgateways/shared-vpn</t>
  </si>
  <si>
    <t>shop-web-01</t>
  </si>
  <si>
    <t>/subscriptions/5a1e0c01-1111-4c2a-9a10-0000000000a1/resourcegroups/shop-rg/providers/microsoft.compute/virtualmachines/shop-web-01</t>
  </si>
  <si>
    <t>shop-web-02</t>
  </si>
  <si>
    <t>/subscriptions/5a1e0c01-1111-4c2a-9a10-0000000000a1/resourcegroups/shop-rg/providers/microsoft.compute/virtualmachines/shop-web-02</t>
  </si>
  <si>
    <t>shop-web-03</t>
  </si>
  <si>
    <t>/subscriptions/5a1e0c01-1111-4c2a-9a10-0000000000a1/resourcegroups/shop-rg/providers/microsoft.compute/virtualmachines/shop-web-03</t>
  </si>
  <si>
    <t>shop-web-04</t>
  </si>
  <si>
    <t>/subscriptions/5a1e0c01-1111-4c2a-9a10-0000000000a1/resourcegroups/shop-rg/providers/microsoft.compute/virtualmachines/shop-web-04</t>
  </si>
  <si>
    <t>shop-web-test-01</t>
  </si>
  <si>
    <t>/subscriptions/5a1e0c01-1111-4c2a-9a10-0000000000a2/resourcegroups/shop-test-rg/providers/microsoft.compute/virtualmachines/shop-web-test-01</t>
  </si>
  <si>
    <t>pay-api-01</t>
  </si>
  <si>
    <t>/subscriptions/5a1e0c01-1111-4c2a-9a10-0000000000a3/resourcegroups/pay-rg/providers/microsoft.compute/virtualmachines/pay-api-01</t>
  </si>
  <si>
    <t>pay-api-02</t>
  </si>
  <si>
    <t>/subscriptions/5a1e0c01-1111-4c2a-9a10-0000000000a3/resourcegroups/pay-rg/providers/microsoft.compute/virtualmachines/pay-api-02</t>
  </si>
  <si>
    <t>data-worker-01</t>
  </si>
  <si>
    <t>/subscriptions/5a1e0c01-1111-4c2a-9a10-0000000000a4/resourcegroups/data-rg/providers/microsoft.compute/virtualmachines/data-worker-01</t>
  </si>
  <si>
    <t>shop-mysql-test</t>
  </si>
  <si>
    <t>/subscriptions/5a1e0c01-1111-4c2a-9a10-0000000000a2/resourcegroups/shop-test-rg/providers/microsoft.dbformysql/flexibleservers/shop-mysql-test</t>
  </si>
  <si>
    <t>shopassets</t>
  </si>
  <si>
    <t>/subscriptions/5a1e0c01-1111-4c2a-9a10-0000000000a1/resourcegroups/shop-rg/providers/microsoft.storage/storageaccounts/shopassets</t>
  </si>
  <si>
    <t>shop-aks</t>
  </si>
  <si>
    <t>/subscriptions/5a1e0c01-1111-4c2a-9a10-0000000000a1/resourcegroups/shop-rg/providers/microsoft.containerservice/managedclusters/shop-aks</t>
  </si>
  <si>
    <t>pay-kv</t>
  </si>
  <si>
    <t>/subscriptions/5a1e0c01-1111-4c2a-9a10-0000000000a3/resourcegroups/pay-rg/providers/microsoft.keyvault/vaults/pay-kv</t>
  </si>
  <si>
    <t>shop-batch-01-osdisk</t>
  </si>
  <si>
    <t>/subscriptions/5a1e0c01-1111-4c2a-9a10-0000000000a1/resourcegroups/shop-rg/providers/microsoft.compute/disks/shop-batch-01-osdisk</t>
  </si>
  <si>
    <t>shop-search-01-osdisk</t>
  </si>
  <si>
    <t>/subscriptions/5a1e0c01-1111-4c2a-9a10-0000000000a1/resourcegroups/shop-rg/providers/microsoft.compute/disks/shop-search-01-osdisk</t>
  </si>
  <si>
    <t>shop-web-01-osdisk</t>
  </si>
  <si>
    <t>/subscriptions/5a1e0c01-1111-4c2a-9a10-0000000000a1/resourcegroups/shop-rg/providers/microsoft.compute/disks/shop-web-01-osdisk</t>
  </si>
  <si>
    <t>shop-web-02-osdisk</t>
  </si>
  <si>
    <t>/subscriptions/5a1e0c01-1111-4c2a-9a10-0000000000a1/resourcegroups/shop-rg/providers/microsoft.compute/disks/shop-web-02-osdisk</t>
  </si>
  <si>
    <t>shop-web-03-osdisk</t>
  </si>
  <si>
    <t>/subscriptions/5a1e0c01-1111-4c2a-9a10-0000000000a1/resourcegroups/shop-rg/providers/microsoft.compute/disks/shop-web-03-osdisk</t>
  </si>
  <si>
    <t>shop-web-04-osdisk</t>
  </si>
  <si>
    <t>/subscriptions/5a1e0c01-1111-4c2a-9a10-0000000000a1/resourcegroups/shop-rg/providers/microsoft.compute/disks/shop-web-04-osdisk</t>
  </si>
  <si>
    <t>shop-web-test-01-osdisk</t>
  </si>
  <si>
    <t>/subscriptions/5a1e0c01-1111-4c2a-9a10-0000000000a2/resourcegroups/shop-test-rg/providers/microsoft.compute/disks/shop-web-test-01-osdisk</t>
  </si>
  <si>
    <t>pay-api-01-osdisk</t>
  </si>
  <si>
    <t>/subscriptions/5a1e0c01-1111-4c2a-9a10-0000000000a3/resourcegroups/pay-rg/providers/microsoft.compute/disks/pay-api-01-osdisk</t>
  </si>
  <si>
    <t>pay-api-02-osdisk</t>
  </si>
  <si>
    <t>/subscriptions/5a1e0c01-1111-4c2a-9a10-0000000000a3/resourcegroups/pay-rg/providers/microsoft.compute/disks/pay-api-02-osdisk</t>
  </si>
  <si>
    <t>data-etl-01-osdisk</t>
  </si>
  <si>
    <t>/subscriptions/5a1e0c01-1111-4c2a-9a10-0000000000a4/resourcegroups/data-rg/providers/microsoft.compute/disks/data-etl-01-osdisk</t>
  </si>
  <si>
    <t>payreceipts</t>
  </si>
  <si>
    <t>/subscriptions/5a1e0c01-1111-4c2a-9a10-0000000000a3/resourcegroups/pay-rg/providers/microsoft.storage/storageaccounts/payreceipts</t>
  </si>
  <si>
    <t>data-worker-01-osdisk</t>
  </si>
  <si>
    <t>/subscriptions/5a1e0c01-1111-4c2a-9a10-0000000000a4/resourcegroups/data-rg/providers/microsoft.compute/disks/data-worker-01-osdisk</t>
  </si>
  <si>
    <t>每日费用：8月与9月</t>
  </si>
  <si>
    <t>按月内日期排列；只有一个月有的日期不补成0。</t>
  </si>
  <si>
    <t>日期号</t>
  </si>
  <si>
    <t>10月费用预测（Azure Cost Management）</t>
  </si>
  <si>
    <t>查询日期2026-10-29；已发生的日期为实际费用，其余为Azure预测值，不是账单金额。9月无费用的订阅预测接口不返回结果。</t>
  </si>
  <si>
    <t>10月截至查询日实际USD</t>
  </si>
  <si>
    <t>10月其余日期预测USD</t>
  </si>
  <si>
    <t>9月实际USD</t>
  </si>
  <si>
    <t>日均变化率（较9月）</t>
  </si>
  <si>
    <t>下下月预测USD</t>
  </si>
  <si>
    <t>有预测的订阅</t>
  </si>
  <si>
    <t>只合计有预测结果的订阅</t>
  </si>
  <si>
    <t>9月分摊费用及计价方式</t>
  </si>
  <si>
    <t>实际费用用于账单支出，分摊费用用于将承诺费用分配到期间；计价方式金额不等于优惠覆盖率。</t>
  </si>
  <si>
    <t>类别</t>
  </si>
  <si>
    <t>费用USD</t>
  </si>
  <si>
    <t>分摊费用/服务</t>
  </si>
  <si>
    <t>实际费用/计价方式</t>
  </si>
  <si>
    <t>OnDemand</t>
  </si>
  <si>
    <t>分摊费用/计价方式（按资源汇总）</t>
  </si>
  <si>
    <t>ondemand</t>
  </si>
  <si>
    <t>reservation</t>
  </si>
  <si>
    <t>现有预留实例（RI）和节省计划（SP）</t>
  </si>
  <si>
    <t>使用率来自 Azure；近 30 天低于 80% 视为未用满，90 天内到期单独提示。读不到订单时不代表没有购买。</t>
  </si>
  <si>
    <t>名称</t>
  </si>
  <si>
    <t>规格或承诺</t>
  </si>
  <si>
    <t>范围</t>
  </si>
  <si>
    <t>期限</t>
  </si>
  <si>
    <t>近7天使用率%</t>
  </si>
  <si>
    <t>近30天使用率%</t>
  </si>
  <si>
    <t>到期日期</t>
  </si>
  <si>
    <t>提示</t>
  </si>
  <si>
    <t>预留实例</t>
  </si>
  <si>
    <t>shop-web-d4sv5</t>
  </si>
  <si>
    <t>Standard_D4s_v5</t>
  </si>
  <si>
    <t>Single</t>
  </si>
  <si>
    <t>1 年</t>
  </si>
  <si>
    <t>2027-03-31</t>
  </si>
  <si>
    <t>正常</t>
  </si>
  <si>
    <t>legacy-report-e16sv5</t>
  </si>
  <si>
    <t>Standard_E16s_v5</t>
  </si>
  <si>
    <t>Shared</t>
  </si>
  <si>
    <t>2027-05-31</t>
  </si>
  <si>
    <t>近 30 天使用率 0%，未用满</t>
  </si>
  <si>
    <t>节省计划</t>
  </si>
  <si>
    <t>compute-sp-2025</t>
  </si>
  <si>
    <t>每小时承诺 USD 1.20</t>
  </si>
  <si>
    <t>2026-12-15</t>
  </si>
  <si>
    <t>47 天后到期，未设置自动续订</t>
  </si>
  <si>
    <t>Azure 基于过去 30 天用量的 RI/SP 购买建议</t>
  </si>
  <si>
    <t>金额为 Azure 估算的 30 天费用和节省（约等于每月），按当前用量计算，未考虑降配；先降配并稳定后再按新的用量采购。同一订阅的 1 年和 3 年、预留实例和节省计划是互相替代的方案，节省不能相加。</t>
  </si>
  <si>
    <t>类型</t>
  </si>
  <si>
    <t>资源类型</t>
  </si>
  <si>
    <t>规格</t>
  </si>
  <si>
    <t>建议数量或每小时承诺</t>
  </si>
  <si>
    <t>30天按需费用USD</t>
  </si>
  <si>
    <t>购买后费用USD</t>
  </si>
  <si>
    <t>估算节省USD（30天）</t>
  </si>
  <si>
    <t>VirtualMachines</t>
  </si>
  <si>
    <t>japaneast</t>
  </si>
  <si>
    <t>3 年</t>
  </si>
  <si>
    <t>Compute_Savings_Plan</t>
  </si>
  <si>
    <t>每小时承诺 0.95</t>
  </si>
  <si>
    <t>建议清单和执行跟踪</t>
  </si>
  <si>
    <t>预计节省不是已实现节省；当前检查建议与历史费用分别标注。</t>
  </si>
  <si>
    <t>发现</t>
  </si>
  <si>
    <t>建议怎么做</t>
  </si>
  <si>
    <t>预计每月节省USD</t>
  </si>
  <si>
    <t>负责人</t>
  </si>
  <si>
    <t>状态</t>
  </si>
  <si>
    <t>证据时间</t>
  </si>
  <si>
    <t>客户决定</t>
  </si>
  <si>
    <t>实施日期</t>
  </si>
  <si>
    <t>实际节省USD</t>
  </si>
  <si>
    <t>业务验收结果</t>
  </si>
  <si>
    <t>费用增长</t>
  </si>
  <si>
    <t>pay-prod / Azure Database for PostgreSQL</t>
  </si>
  <si>
    <t>9月费用USD 572.70，较8月增加USD 572.70；日均变化不适用。9 月 8 日新增 pay-pg-prod（4 vCore），属于新上线的对账服务</t>
  </si>
  <si>
    <t>确认新增数据库是否为计划上线，纳入数据库用量检查</t>
  </si>
  <si>
    <t>业务负责人/财务</t>
  </si>
  <si>
    <t>待业务确认</t>
  </si>
  <si>
    <t>2026年8月与9月实际费用</t>
  </si>
  <si>
    <t>shop-prod / Log Analytics</t>
  </si>
  <si>
    <t>9月费用USD 3,556.31，较8月增加USD 374.95；日均变化+15.51%。9 月 15 日起 checkout-api 容器开启调试日志，日志量增加约 25%</t>
  </si>
  <si>
    <t>确认日志采集范围和保留需求，见日志检查项</t>
  </si>
  <si>
    <t>data-prod / Azure OpenAI</t>
  </si>
  <si>
    <t>9月费用USD 1,187.53，较8月增加USD 360.61；日均变化+48.40%。工作日调用量增加约 44%（输入 token 数量增加），单价不变</t>
  </si>
  <si>
    <t>确认新模型和调用量变化是否符合业务计划；建议按订阅设置费用告警，跟踪模型调用量变化</t>
  </si>
  <si>
    <t>data-prod / Virtual Machines</t>
  </si>
  <si>
    <t>9月费用USD 537.98，较8月增加USD 163.01；日均变化+48.25%。9 月 12 日新增 data-worker-01（D8s_v5），用于新的报表任务</t>
  </si>
  <si>
    <t>确认新增或扩容的机器、节点池是否为计划上线，纳入下月VM规格检查</t>
  </si>
  <si>
    <t>VM规格</t>
  </si>
  <si>
    <t>全部订阅中满足平均值规则的运行VM</t>
  </si>
  <si>
    <t>10月19日至26日检查建议调整7台机器</t>
  </si>
  <si>
    <t>按逐台建议先小范围调整，确认关键任务和同池应用资源要求；费用估算仅用于后续决策</t>
  </si>
  <si>
    <t>云平台/业务负责人</t>
  </si>
  <si>
    <t>待审批，尚未实施</t>
  </si>
  <si>
    <t>10月19日至26日用量与当前规格；不是9月已实现节省</t>
  </si>
  <si>
    <t>RI/SP</t>
  </si>
  <si>
    <t>长期稳定计算、数据库、缓存及可预留存储费用</t>
  </si>
  <si>
    <t>9月分摊费用中 8.3% 由 RI/SP 覆盖；现有 2 个预留、1 个节省计划，其中 1 个近 30 天未用满，1 个即将到期；Azure 基于过去 30 天用量估算，购买 1 年期预留实例约节省 USD 128.62，购买 1 年期节省计划约节省 USD 188.60（每 30 天，按当前用量、未计入降配；预留实例和节省计划覆盖同一部分用量，只能选其一，3 年期方案见 Excel）</t>
  </si>
  <si>
    <t>先确定调整后的长期用量，再比较适用的1年/3年RI和SP；不要按全年满配估算直接采购</t>
  </si>
  <si>
    <t>采购/财务/云平台</t>
  </si>
  <si>
    <t>待核对现有订单和业务计划</t>
  </si>
  <si>
    <t>当前采购建议，非9月采购结果</t>
  </si>
  <si>
    <t>闲置资源</t>
  </si>
  <si>
    <t>未挂载磁盘、未关联IP、旧快照和停用环境</t>
  </si>
  <si>
    <t>资源是否可删除需核对用途、引用和保留要求</t>
  </si>
  <si>
    <t>请资源负责人确认保留或退役；批准前不删除，删除前确认备份和恢复要求</t>
  </si>
  <si>
    <t>资源负责人</t>
  </si>
  <si>
    <t>待用途确认</t>
  </si>
  <si>
    <t>当前配置检查</t>
  </si>
  <si>
    <t>存储</t>
  </si>
  <si>
    <t>data-prod / datalakeraw</t>
  </si>
  <si>
    <t>约 26 TiB 全部在 Hot 层，没有生命周期策略</t>
  </si>
  <si>
    <t>确认数据访问频率后，为 90 天前的数据配置转 Cool 层规则</t>
  </si>
  <si>
    <t>数据平台负责人</t>
  </si>
  <si>
    <t>9 月存储容量与当前配置</t>
  </si>
  <si>
    <t>数据与权限</t>
  </si>
  <si>
    <t>无法读取的订阅、RI/SP订单、预算和资源负责人</t>
  </si>
  <si>
    <t>1个订阅的费用无法读取：订阅未启用（old-lab）；未取得9月月度预算目标和资源负责人。读取失败或缺业务信息的项目不按零费用、零用量处理</t>
  </si>
  <si>
    <t>按覆盖说明补充只读数据或由客户提供导出；确认预算和责任人后形成决策</t>
  </si>
  <si>
    <t>客户管理员/财务</t>
  </si>
  <si>
    <t>待补充</t>
  </si>
  <si>
    <t>报告数据覆盖说明</t>
  </si>
  <si>
    <t>数据库与缓存：9月平均使用率</t>
  </si>
  <si>
    <t>按每日平均值计算9月加权平均。规格为10月26日的当前配置，不一定是9月配置。CPU和内存都低于20%只表示可做容量评审，不代表可以直接降配。</t>
  </si>
  <si>
    <t>9月费用USD</t>
  </si>
  <si>
    <t>CPU平均%</t>
  </si>
  <si>
    <t>内存平均%</t>
  </si>
  <si>
    <t>实际内存使用GiB</t>
  </si>
  <si>
    <t>存储使用平均%</t>
  </si>
  <si>
    <t>有效日</t>
  </si>
  <si>
    <t>PostgreSQL 灵活服务器</t>
  </si>
  <si>
    <t>Standard_D8ds_v5</t>
  </si>
  <si>
    <t>eastus</t>
  </si>
  <si>
    <t>MySQL 灵活服务器</t>
  </si>
  <si>
    <t>Standard_D4ds_v4</t>
  </si>
  <si>
    <t>CPU和内存9月平均均低于20%，建议容量评审</t>
  </si>
  <si>
    <t>Standard_D4ds_v5</t>
  </si>
  <si>
    <t>只有23个有效日</t>
  </si>
  <si>
    <t>Azure Cache for Redis（旧版）</t>
  </si>
  <si>
    <t>Premium P1</t>
  </si>
  <si>
    <t>CPU和内存9月平均均低于20%，建议容量评审；内存百分比按整数上报，低于1%显示为0，请看实际内存使用</t>
  </si>
  <si>
    <t>Standard_B2ms</t>
  </si>
  <si>
    <t>存储账户：9月容量、层级和生命周期策略</t>
  </si>
  <si>
    <t>容量来自9月每日平均值；冗余、层级和生命周期策略为10月26日的当前配置。“未配置”表示查询明确返回没有策略。</t>
  </si>
  <si>
    <t>存储账户</t>
  </si>
  <si>
    <t>冗余</t>
  </si>
  <si>
    <t>默认层级</t>
  </si>
  <si>
    <t>9月初容量GiB</t>
  </si>
  <si>
    <t>9月底容量GiB</t>
  </si>
  <si>
    <t>9月增长GiB</t>
  </si>
  <si>
    <t>增长率%</t>
  </si>
  <si>
    <t>各层容量GiB（9月底）</t>
  </si>
  <si>
    <t>9月出站GiB</t>
  </si>
  <si>
    <t>生命周期策略</t>
  </si>
  <si>
    <t>LRS</t>
  </si>
  <si>
    <t>Hot</t>
  </si>
  <si>
    <t>Hot 26,400</t>
  </si>
  <si>
    <t>未配置</t>
  </si>
  <si>
    <t>Hot 5,100，Cool 170</t>
  </si>
  <si>
    <t>已配置：move-old-images（tierToCool）</t>
  </si>
  <si>
    <t>Hot 720</t>
  </si>
  <si>
    <t>Log Analytics：9月摄取量和保留设置</t>
  </si>
  <si>
    <t>9月费用USD 50以上的工作区查询了摄取量；来源明细只查询9月最后7天（2026-09-24至2026-09-30）。</t>
  </si>
  <si>
    <t>工作区</t>
  </si>
  <si>
    <t>9月可计费GB</t>
  </si>
  <si>
    <t>主要数据类型</t>
  </si>
  <si>
    <t>保留天数</t>
  </si>
  <si>
    <t>每日上限</t>
  </si>
  <si>
    <t>月末一周主要来源</t>
  </si>
  <si>
    <t>ContainerLogV2 1,057.8 GB，Perf 154.8 GB</t>
  </si>
  <si>
    <t>未设置</t>
  </si>
  <si>
    <t>checkout-api 387.0 GB；catalog-sync 154.8 GB</t>
  </si>
  <si>
    <t>AzureDiagnostics 459.2 GB，Perf 67.2 GB</t>
  </si>
  <si>
    <t>PostgreSQLLogs 112.0 GB；QueryStoreRuntimeStatistics 0.4 GB</t>
  </si>
  <si>
    <t>现有预算及9月可判断范围</t>
  </si>
  <si>
    <t>只列实际读取到的预算；年度累计支出不是9月单月支出，不能按年度预算直接判断9月超预算。</t>
  </si>
  <si>
    <t>预算名称</t>
  </si>
  <si>
    <t>金额</t>
  </si>
  <si>
    <t>币种</t>
  </si>
  <si>
    <t>周期</t>
  </si>
  <si>
    <t>开始日期</t>
  </si>
  <si>
    <t>结束日期</t>
  </si>
  <si>
    <t>当前累计支出</t>
  </si>
  <si>
    <t>shop-monthly</t>
  </si>
  <si>
    <t>USD</t>
  </si>
  <si>
    <t>Monthly</t>
  </si>
  <si>
    <t>2026-01-01T00:00:00Z</t>
  </si>
  <si>
    <t>2026-12-31T00:00:00Z</t>
  </si>
  <si>
    <t>月度预算</t>
  </si>
  <si>
    <t>数据覆盖和未完成检查</t>
  </si>
  <si>
    <t>读取失败不按0处理；没有实际执行记录时不填写已实现节省。</t>
  </si>
  <si>
    <t>9月实际费用</t>
  </si>
  <si>
    <t>5个订阅读取成功；1个订阅读取失败</t>
  </si>
  <si>
    <t>8月实际费用</t>
  </si>
  <si>
    <t>9月分摊费用</t>
  </si>
  <si>
    <t>9月计价方式</t>
  </si>
  <si>
    <t>5个订阅读取成功</t>
  </si>
  <si>
    <t>费用覆盖限制</t>
  </si>
  <si>
    <t>另有1个订阅的费用无法读取：订阅未启用（old-lab）；未取得的费用不按0处理。所有环比使用5个订阅</t>
  </si>
  <si>
    <t>历史费用</t>
  </si>
  <si>
    <t>Cost Management ActualCost；9月与8月完整自然月，不使用月底预测替代</t>
  </si>
  <si>
    <t>月份天数</t>
  </si>
  <si>
    <t>9月30天、8月31天，同时比较日均费用</t>
  </si>
  <si>
    <t>预算</t>
  </si>
  <si>
    <t>如未取得预算金额，只报告费用变化，不判断是否超预算</t>
  </si>
  <si>
    <t>RI/SP现有订单</t>
  </si>
  <si>
    <t>是否买多/用满需现有订单和使用记录；价格对比不证明已购买或已节省</t>
  </si>
  <si>
    <t>优化报价</t>
  </si>
  <si>
    <t>当前公开列表价用于后续决策，不是9月实际账单费用</t>
  </si>
  <si>
    <t>当前资源状态</t>
  </si>
  <si>
    <t>当前盘/VM/资源配置仅列为后续建议，不当作9月状态</t>
  </si>
  <si>
    <t>实际效果</t>
  </si>
  <si>
    <t>尚未提供执行及验收记录，不填已实现节省</t>
  </si>
  <si>
    <t>WAF参考</t>
  </si>
  <si>
    <t>https://learn.microsoft.com/en-us/azure/well-architected/cost-optimization/checklist</t>
  </si>
  <si>
    <t>预算读取</t>
  </si>
  <si>
    <t>对5个有费用订阅查询预算：4个无预算记录，shop-prod有月度USD 15,000预算；其余1个订阅未查询预算。年度累计支出不作为9月超预算证明</t>
  </si>
  <si>
    <t>RI/SP 覆盖（按资源）</t>
  </si>
  <si>
    <t>4 个有费用的订阅读取成功（9月分摊费用，按资源和计价方式）</t>
  </si>
  <si>
    <t>RI/SP 现有订单</t>
  </si>
  <si>
    <t>预留：读取成功；节省计划：读取成功</t>
  </si>
  <si>
    <t>Azure 购买建议</t>
  </si>
  <si>
    <t>6/6 次查询成功，共 3 条建议</t>
  </si>
  <si>
    <t>按区域费用</t>
  </si>
  <si>
    <t>5个可读取订阅的8月、9月区域费用全部读取成功，合计与订阅费用一致</t>
  </si>
  <si>
    <t>10月费用预测</t>
  </si>
  <si>
    <t>查询日期2026-10-29；5个订阅有预测结果，其余0个订阅接口未返回预测；预测为Azure模型结果，不是账单</t>
  </si>
  <si>
    <t>费用变化原因</t>
  </si>
  <si>
    <t>前10项增长、前5项下降按资源和计量拆解，11/11项与费用变化完全对上</t>
  </si>
  <si>
    <t>数据库与缓存</t>
  </si>
  <si>
    <t>读取时间2026-10-26 10:00 UTC；MySQL 灵活服务器 3个（完整30日3个）；PostgreSQL 灵活服务器 2个（完整30日1个）；Azure Cache for Redis（旧版） 1个（完整30日1个）</t>
  </si>
  <si>
    <t>3个存储账户；30日容量完整3个；生命周期策略：已配置1个，未配置2个</t>
  </si>
  <si>
    <t>日志工作区</t>
  </si>
  <si>
    <t>2个工作区；费用USD 50以上的2个已查询摄取量；检查5个资源的诊断设置，未发现同一类日志重复发送</t>
  </si>
  <si>
    <t>资源配置时间</t>
  </si>
  <si>
    <t>数据库、缓存、存储和日志的规格及配置为10月26日读取的当前状态，不一定是9月配置</t>
  </si>
  <si>
    <t>未启用订阅</t>
  </si>
  <si>
    <t>1个未启用订阅在资源查询中不可见，其数据库、存储和日志未检查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</si>
</sst>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4"/>
      <color rgb="FFFFFFFF"/>
      <name val="Arial"/>
    </font>
    <font>
      <b/>
      <sz val="10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F5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164" fontId="1" fillId="4" borderId="0" xfId="0" applyNumberFormat="1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65" fontId="5" fillId="4" borderId="0" xfId="0" applyNumberFormat="1" applyFont="1" applyFill="1" applyAlignment="1">
      <alignment vertical="top" wrapText="1"/>
    </xf>
    <xf numFmtId="164" fontId="5" fillId="4" borderId="0" xfId="0" applyNumberFormat="1" applyFont="1" applyFill="1" applyAlignment="1">
      <alignment vertical="top" wrapText="1"/>
    </xf>
    <xf numFmtId="165" fontId="5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165" fontId="1" fillId="4" borderId="0" xfId="0" applyNumberFormat="1" applyFont="1" applyFill="1" applyAlignment="1">
      <alignment vertical="top" wrapText="1"/>
    </xf>
    <xf numFmtId="1" fontId="1" fillId="4" borderId="0" xfId="0" applyNumberFormat="1" applyFont="1" applyFill="1" applyAlignment="1">
      <alignment vertical="top" wrapText="1"/>
    </xf>
    <xf numFmtId="1" fontId="1" fillId="0" borderId="0" xfId="0" applyNumberFormat="1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图表!$B$3</c:f>
              <c:strCache>
                <c:ptCount val="1"/>
                <c:pt idx="0">
                  <c:v>8月USD</c:v>
                </c:pt>
              </c:strCache>
            </c:strRef>
          </c:tx>
          <c:spPr>
            <a:ln w="22000">
              <a:solidFill>
                <a:srgbClr val="A09F98"/>
              </a:solidFill>
              <a:prstDash val="solid"/>
            </a:ln>
          </c:spPr>
          <c:marker>
            <c:symbol val="none"/>
          </c:marker>
          <c:cat>
            <c:strRef>
              <c:f>图表!$A$4:$A$64</c:f>
              <c:strCache>
                <c:ptCount val="61"/>
                <c:pt idx="0">
                  <c:v>08-01</c:v>
                </c:pt>
                <c:pt idx="1">
                  <c:v>08-02</c:v>
                </c:pt>
                <c:pt idx="2">
                  <c:v>08-03</c:v>
                </c:pt>
                <c:pt idx="3">
                  <c:v>08-04</c:v>
                </c:pt>
                <c:pt idx="4">
                  <c:v>08-05</c:v>
                </c:pt>
                <c:pt idx="5">
                  <c:v>08-06</c:v>
                </c:pt>
                <c:pt idx="6">
                  <c:v>08-07</c:v>
                </c:pt>
                <c:pt idx="7">
                  <c:v>08-08</c:v>
                </c:pt>
                <c:pt idx="8">
                  <c:v>08-09</c:v>
                </c:pt>
                <c:pt idx="9">
                  <c:v>08-10</c:v>
                </c:pt>
                <c:pt idx="10">
                  <c:v>08-11</c:v>
                </c:pt>
                <c:pt idx="11">
                  <c:v>08-12</c:v>
                </c:pt>
                <c:pt idx="12">
                  <c:v>08-13</c:v>
                </c:pt>
                <c:pt idx="13">
                  <c:v>08-14</c:v>
                </c:pt>
                <c:pt idx="14">
                  <c:v>08-15</c:v>
                </c:pt>
                <c:pt idx="15">
                  <c:v>08-16</c:v>
                </c:pt>
                <c:pt idx="16">
                  <c:v>08-17</c:v>
                </c:pt>
                <c:pt idx="17">
                  <c:v>08-18</c:v>
                </c:pt>
                <c:pt idx="18">
                  <c:v>08-19</c:v>
                </c:pt>
                <c:pt idx="19">
                  <c:v>08-20</c:v>
                </c:pt>
                <c:pt idx="20">
                  <c:v>08-21</c:v>
                </c:pt>
                <c:pt idx="21">
                  <c:v>08-22</c:v>
                </c:pt>
                <c:pt idx="22">
                  <c:v>08-23</c:v>
                </c:pt>
                <c:pt idx="23">
                  <c:v>08-24</c:v>
                </c:pt>
                <c:pt idx="24">
                  <c:v>08-25</c:v>
                </c:pt>
                <c:pt idx="25">
                  <c:v>08-26</c:v>
                </c:pt>
                <c:pt idx="26">
                  <c:v>08-27</c:v>
                </c:pt>
                <c:pt idx="27">
                  <c:v>08-28</c:v>
                </c:pt>
                <c:pt idx="28">
                  <c:v>08-29</c:v>
                </c:pt>
                <c:pt idx="29">
                  <c:v>08-30</c:v>
                </c:pt>
                <c:pt idx="30">
                  <c:v>08-31</c:v>
                </c:pt>
                <c:pt idx="31">
                  <c:v>09-01</c:v>
                </c:pt>
                <c:pt idx="32">
                  <c:v>09-02</c:v>
                </c:pt>
                <c:pt idx="33">
                  <c:v>09-03</c:v>
                </c:pt>
                <c:pt idx="34">
                  <c:v>09-04</c:v>
                </c:pt>
                <c:pt idx="35">
                  <c:v>09-05</c:v>
                </c:pt>
                <c:pt idx="36">
                  <c:v>09-06</c:v>
                </c:pt>
                <c:pt idx="37">
                  <c:v>09-07</c:v>
                </c:pt>
                <c:pt idx="38">
                  <c:v>09-08</c:v>
                </c:pt>
                <c:pt idx="39">
                  <c:v>09-09</c:v>
                </c:pt>
                <c:pt idx="40">
                  <c:v>09-10</c:v>
                </c:pt>
                <c:pt idx="41">
                  <c:v>09-11</c:v>
                </c:pt>
                <c:pt idx="42">
                  <c:v>09-12</c:v>
                </c:pt>
                <c:pt idx="43">
                  <c:v>09-13</c:v>
                </c:pt>
                <c:pt idx="44">
                  <c:v>09-14</c:v>
                </c:pt>
                <c:pt idx="45">
                  <c:v>09-15</c:v>
                </c:pt>
                <c:pt idx="46">
                  <c:v>09-16</c:v>
                </c:pt>
                <c:pt idx="47">
                  <c:v>09-17</c:v>
                </c:pt>
                <c:pt idx="48">
                  <c:v>09-18</c:v>
                </c:pt>
                <c:pt idx="49">
                  <c:v>09-19</c:v>
                </c:pt>
                <c:pt idx="50">
                  <c:v>09-20</c:v>
                </c:pt>
                <c:pt idx="51">
                  <c:v>09-21</c:v>
                </c:pt>
                <c:pt idx="52">
                  <c:v>09-22</c:v>
                </c:pt>
                <c:pt idx="53">
                  <c:v>09-23</c:v>
                </c:pt>
                <c:pt idx="54">
                  <c:v>09-24</c:v>
                </c:pt>
                <c:pt idx="55">
                  <c:v>09-25</c:v>
                </c:pt>
                <c:pt idx="56">
                  <c:v>09-26</c:v>
                </c:pt>
                <c:pt idx="57">
                  <c:v>09-27</c:v>
                </c:pt>
                <c:pt idx="58">
                  <c:v>09-28</c:v>
                </c:pt>
                <c:pt idx="59">
                  <c:v>09-29</c:v>
                </c:pt>
                <c:pt idx="60">
                  <c:v>09-30</c:v>
                </c:pt>
              </c:strCache>
            </c:strRef>
          </c:cat>
          <c:val>
            <c:numRef>
              <c:f>图表!$B$4:$B$64</c:f>
              <c:numCache>
                <c:formatCode>#,##0.00;\(#,##0.00\);"-"</c:formatCode>
                <c:ptCount val="61"/>
                <c:pt idx="0">
                  <c:v>461.14850000000001</c:v>
                </c:pt>
                <c:pt idx="1">
                  <c:v>455.50380000000001</c:v>
                </c:pt>
                <c:pt idx="2">
                  <c:v>563.57100000000003</c:v>
                </c:pt>
                <c:pt idx="3">
                  <c:v>550.92129999999997</c:v>
                </c:pt>
                <c:pt idx="4">
                  <c:v>556.50670000000002</c:v>
                </c:pt>
                <c:pt idx="5">
                  <c:v>543.50699999999995</c:v>
                </c:pt>
                <c:pt idx="6">
                  <c:v>554.72490000000005</c:v>
                </c:pt>
                <c:pt idx="7">
                  <c:v>463.85899999999998</c:v>
                </c:pt>
                <c:pt idx="8">
                  <c:v>453.40100000000001</c:v>
                </c:pt>
                <c:pt idx="9">
                  <c:v>555.22130000000004</c:v>
                </c:pt>
                <c:pt idx="10">
                  <c:v>551.94960000000003</c:v>
                </c:pt>
                <c:pt idx="11">
                  <c:v>553.93650000000002</c:v>
                </c:pt>
                <c:pt idx="12">
                  <c:v>545.68809999999996</c:v>
                </c:pt>
                <c:pt idx="13">
                  <c:v>559.62130000000002</c:v>
                </c:pt>
                <c:pt idx="14">
                  <c:v>456.20760000000001</c:v>
                </c:pt>
                <c:pt idx="15">
                  <c:v>464.64600000000002</c:v>
                </c:pt>
                <c:pt idx="16">
                  <c:v>563.87400000000002</c:v>
                </c:pt>
                <c:pt idx="17">
                  <c:v>546.76220000000001</c:v>
                </c:pt>
                <c:pt idx="18">
                  <c:v>544.72749999999996</c:v>
                </c:pt>
                <c:pt idx="19">
                  <c:v>555.17280000000005</c:v>
                </c:pt>
                <c:pt idx="20">
                  <c:v>555.51290000000006</c:v>
                </c:pt>
                <c:pt idx="21">
                  <c:v>456.7817</c:v>
                </c:pt>
                <c:pt idx="22">
                  <c:v>452.0933</c:v>
                </c:pt>
                <c:pt idx="23">
                  <c:v>555.11469999999997</c:v>
                </c:pt>
                <c:pt idx="24">
                  <c:v>558.48099999999999</c:v>
                </c:pt>
                <c:pt idx="25">
                  <c:v>553.61919999999998</c:v>
                </c:pt>
                <c:pt idx="26">
                  <c:v>551.22130000000004</c:v>
                </c:pt>
                <c:pt idx="27">
                  <c:v>545.29280000000006</c:v>
                </c:pt>
                <c:pt idx="28">
                  <c:v>460.24250000000001</c:v>
                </c:pt>
                <c:pt idx="29">
                  <c:v>462.1037</c:v>
                </c:pt>
                <c:pt idx="30">
                  <c:v>544.94809999999995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3-4011-91DA-497407C3DA81}"/>
            </c:ext>
          </c:extLst>
        </c:ser>
        <c:ser>
          <c:idx val="1"/>
          <c:order val="1"/>
          <c:tx>
            <c:strRef>
              <c:f>图表!$C$3</c:f>
              <c:strCache>
                <c:ptCount val="1"/>
                <c:pt idx="0">
                  <c:v>9月USD</c:v>
                </c:pt>
              </c:strCache>
            </c:strRef>
          </c:tx>
          <c:spPr>
            <a:ln w="22000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strRef>
              <c:f>图表!$A$4:$A$64</c:f>
              <c:strCache>
                <c:ptCount val="61"/>
                <c:pt idx="0">
                  <c:v>08-01</c:v>
                </c:pt>
                <c:pt idx="1">
                  <c:v>08-02</c:v>
                </c:pt>
                <c:pt idx="2">
                  <c:v>08-03</c:v>
                </c:pt>
                <c:pt idx="3">
                  <c:v>08-04</c:v>
                </c:pt>
                <c:pt idx="4">
                  <c:v>08-05</c:v>
                </c:pt>
                <c:pt idx="5">
                  <c:v>08-06</c:v>
                </c:pt>
                <c:pt idx="6">
                  <c:v>08-07</c:v>
                </c:pt>
                <c:pt idx="7">
                  <c:v>08-08</c:v>
                </c:pt>
                <c:pt idx="8">
                  <c:v>08-09</c:v>
                </c:pt>
                <c:pt idx="9">
                  <c:v>08-10</c:v>
                </c:pt>
                <c:pt idx="10">
                  <c:v>08-11</c:v>
                </c:pt>
                <c:pt idx="11">
                  <c:v>08-12</c:v>
                </c:pt>
                <c:pt idx="12">
                  <c:v>08-13</c:v>
                </c:pt>
                <c:pt idx="13">
                  <c:v>08-14</c:v>
                </c:pt>
                <c:pt idx="14">
                  <c:v>08-15</c:v>
                </c:pt>
                <c:pt idx="15">
                  <c:v>08-16</c:v>
                </c:pt>
                <c:pt idx="16">
                  <c:v>08-17</c:v>
                </c:pt>
                <c:pt idx="17">
                  <c:v>08-18</c:v>
                </c:pt>
                <c:pt idx="18">
                  <c:v>08-19</c:v>
                </c:pt>
                <c:pt idx="19">
                  <c:v>08-20</c:v>
                </c:pt>
                <c:pt idx="20">
                  <c:v>08-21</c:v>
                </c:pt>
                <c:pt idx="21">
                  <c:v>08-22</c:v>
                </c:pt>
                <c:pt idx="22">
                  <c:v>08-23</c:v>
                </c:pt>
                <c:pt idx="23">
                  <c:v>08-24</c:v>
                </c:pt>
                <c:pt idx="24">
                  <c:v>08-25</c:v>
                </c:pt>
                <c:pt idx="25">
                  <c:v>08-26</c:v>
                </c:pt>
                <c:pt idx="26">
                  <c:v>08-27</c:v>
                </c:pt>
                <c:pt idx="27">
                  <c:v>08-28</c:v>
                </c:pt>
                <c:pt idx="28">
                  <c:v>08-29</c:v>
                </c:pt>
                <c:pt idx="29">
                  <c:v>08-30</c:v>
                </c:pt>
                <c:pt idx="30">
                  <c:v>08-31</c:v>
                </c:pt>
                <c:pt idx="31">
                  <c:v>09-01</c:v>
                </c:pt>
                <c:pt idx="32">
                  <c:v>09-02</c:v>
                </c:pt>
                <c:pt idx="33">
                  <c:v>09-03</c:v>
                </c:pt>
                <c:pt idx="34">
                  <c:v>09-04</c:v>
                </c:pt>
                <c:pt idx="35">
                  <c:v>09-05</c:v>
                </c:pt>
                <c:pt idx="36">
                  <c:v>09-06</c:v>
                </c:pt>
                <c:pt idx="37">
                  <c:v>09-07</c:v>
                </c:pt>
                <c:pt idx="38">
                  <c:v>09-08</c:v>
                </c:pt>
                <c:pt idx="39">
                  <c:v>09-09</c:v>
                </c:pt>
                <c:pt idx="40">
                  <c:v>09-10</c:v>
                </c:pt>
                <c:pt idx="41">
                  <c:v>09-11</c:v>
                </c:pt>
                <c:pt idx="42">
                  <c:v>09-12</c:v>
                </c:pt>
                <c:pt idx="43">
                  <c:v>09-13</c:v>
                </c:pt>
                <c:pt idx="44">
                  <c:v>09-14</c:v>
                </c:pt>
                <c:pt idx="45">
                  <c:v>09-15</c:v>
                </c:pt>
                <c:pt idx="46">
                  <c:v>09-16</c:v>
                </c:pt>
                <c:pt idx="47">
                  <c:v>09-17</c:v>
                </c:pt>
                <c:pt idx="48">
                  <c:v>09-18</c:v>
                </c:pt>
                <c:pt idx="49">
                  <c:v>09-19</c:v>
                </c:pt>
                <c:pt idx="50">
                  <c:v>09-20</c:v>
                </c:pt>
                <c:pt idx="51">
                  <c:v>09-21</c:v>
                </c:pt>
                <c:pt idx="52">
                  <c:v>09-22</c:v>
                </c:pt>
                <c:pt idx="53">
                  <c:v>09-23</c:v>
                </c:pt>
                <c:pt idx="54">
                  <c:v>09-24</c:v>
                </c:pt>
                <c:pt idx="55">
                  <c:v>09-25</c:v>
                </c:pt>
                <c:pt idx="56">
                  <c:v>09-26</c:v>
                </c:pt>
                <c:pt idx="57">
                  <c:v>09-27</c:v>
                </c:pt>
                <c:pt idx="58">
                  <c:v>09-28</c:v>
                </c:pt>
                <c:pt idx="59">
                  <c:v>09-29</c:v>
                </c:pt>
                <c:pt idx="60">
                  <c:v>09-30</c:v>
                </c:pt>
              </c:strCache>
            </c:strRef>
          </c:cat>
          <c:val>
            <c:numRef>
              <c:f>图表!$C$4:$C$64</c:f>
              <c:numCache>
                <c:formatCode>General</c:formatCode>
                <c:ptCount val="61"/>
                <c:pt idx="31" formatCode="#,##0.00;\(#,##0.00\);&quot;-&quot;">
                  <c:v>553.49680000000001</c:v>
                </c:pt>
                <c:pt idx="32" formatCode="#,##0.00;\(#,##0.00\);&quot;-&quot;">
                  <c:v>559.88810000000001</c:v>
                </c:pt>
                <c:pt idx="33" formatCode="#,##0.00;\(#,##0.00\);&quot;-&quot;">
                  <c:v>555.70730000000003</c:v>
                </c:pt>
                <c:pt idx="34" formatCode="#,##0.00;\(#,##0.00\);&quot;-&quot;">
                  <c:v>571.92809999999997</c:v>
                </c:pt>
                <c:pt idx="35" formatCode="#,##0.00;\(#,##0.00\);&quot;-&quot;">
                  <c:v>459.32940000000002</c:v>
                </c:pt>
                <c:pt idx="36" formatCode="#,##0.00;\(#,##0.00\);&quot;-&quot;">
                  <c:v>466.36869999999999</c:v>
                </c:pt>
                <c:pt idx="37" formatCode="#,##0.00;\(#,##0.00\);&quot;-&quot;">
                  <c:v>565.64239999999995</c:v>
                </c:pt>
                <c:pt idx="38" formatCode="#,##0.00;\(#,##0.00\);&quot;-&quot;">
                  <c:v>586.09050000000002</c:v>
                </c:pt>
                <c:pt idx="39" formatCode="#,##0.00;\(#,##0.00\);&quot;-&quot;">
                  <c:v>597.45690000000002</c:v>
                </c:pt>
                <c:pt idx="40" formatCode="#,##0.00;\(#,##0.00\);&quot;-&quot;">
                  <c:v>598.43500000000006</c:v>
                </c:pt>
                <c:pt idx="41" formatCode="#,##0.00;\(#,##0.00\);&quot;-&quot;">
                  <c:v>592.74289999999996</c:v>
                </c:pt>
                <c:pt idx="42" formatCode="#,##0.00;\(#,##0.00\);&quot;-&quot;">
                  <c:v>497.28289999999998</c:v>
                </c:pt>
                <c:pt idx="43" formatCode="#,##0.00;\(#,##0.00\);&quot;-&quot;">
                  <c:v>502.35759999999999</c:v>
                </c:pt>
                <c:pt idx="44" formatCode="#,##0.00;\(#,##0.00\);&quot;-&quot;">
                  <c:v>599.6875</c:v>
                </c:pt>
                <c:pt idx="45" formatCode="#,##0.00;\(#,##0.00\);&quot;-&quot;">
                  <c:v>636.48860000000002</c:v>
                </c:pt>
                <c:pt idx="46" formatCode="#,##0.00;\(#,##0.00\);&quot;-&quot;">
                  <c:v>617.72800000000007</c:v>
                </c:pt>
                <c:pt idx="47" formatCode="#,##0.00;\(#,##0.00\);&quot;-&quot;">
                  <c:v>631.40219999999999</c:v>
                </c:pt>
                <c:pt idx="48" formatCode="#,##0.00;\(#,##0.00\);&quot;-&quot;">
                  <c:v>632.36149999999998</c:v>
                </c:pt>
                <c:pt idx="49" formatCode="#,##0.00;\(#,##0.00\);&quot;-&quot;">
                  <c:v>524.0258</c:v>
                </c:pt>
                <c:pt idx="50" formatCode="#,##0.00;\(#,##0.00\);&quot;-&quot;">
                  <c:v>520.97580000000005</c:v>
                </c:pt>
                <c:pt idx="51" formatCode="#,##0.00;\(#,##0.00\);&quot;-&quot;">
                  <c:v>621.6232</c:v>
                </c:pt>
                <c:pt idx="52" formatCode="#,##0.00;\(#,##0.00\);&quot;-&quot;">
                  <c:v>619.85619999999994</c:v>
                </c:pt>
                <c:pt idx="53" formatCode="#,##0.00;\(#,##0.00\);&quot;-&quot;">
                  <c:v>628.68520000000001</c:v>
                </c:pt>
                <c:pt idx="54" formatCode="#,##0.00;\(#,##0.00\);&quot;-&quot;">
                  <c:v>627.81989999999996</c:v>
                </c:pt>
                <c:pt idx="55" formatCode="#,##0.00;\(#,##0.00\);&quot;-&quot;">
                  <c:v>640.27930000000003</c:v>
                </c:pt>
                <c:pt idx="56" formatCode="#,##0.00;\(#,##0.00\);&quot;-&quot;">
                  <c:v>522.6558</c:v>
                </c:pt>
                <c:pt idx="57" formatCode="#,##0.00;\(#,##0.00\);&quot;-&quot;">
                  <c:v>525.76089999999999</c:v>
                </c:pt>
                <c:pt idx="58" formatCode="#,##0.00;\(#,##0.00\);&quot;-&quot;">
                  <c:v>637.30960000000005</c:v>
                </c:pt>
                <c:pt idx="59" formatCode="#,##0.00;\(#,##0.00\);&quot;-&quot;">
                  <c:v>622.77660000000003</c:v>
                </c:pt>
                <c:pt idx="60" formatCode="#,##0.00;\(#,##0.00\);&quot;-&quot;">
                  <c:v>634.77980000000002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23-4011-91DA-497407C3D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7"/>
        <c:tickMarkSkip val="7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图表!$F$3</c:f>
              <c:strCache>
                <c:ptCount val="1"/>
                <c:pt idx="0">
                  <c:v>10月实际USD</c:v>
                </c:pt>
              </c:strCache>
            </c:strRef>
          </c:tx>
          <c:spPr>
            <a:ln w="22000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strRef>
              <c:f>图表!$E$4:$E$34</c:f>
              <c:strCache>
                <c:ptCount val="31"/>
                <c:pt idx="0">
                  <c:v>10-01</c:v>
                </c:pt>
                <c:pt idx="1">
                  <c:v>10-02</c:v>
                </c:pt>
                <c:pt idx="2">
                  <c:v>10-03</c:v>
                </c:pt>
                <c:pt idx="3">
                  <c:v>10-04</c:v>
                </c:pt>
                <c:pt idx="4">
                  <c:v>10-05</c:v>
                </c:pt>
                <c:pt idx="5">
                  <c:v>10-06</c:v>
                </c:pt>
                <c:pt idx="6">
                  <c:v>10-07</c:v>
                </c:pt>
                <c:pt idx="7">
                  <c:v>10-08</c:v>
                </c:pt>
                <c:pt idx="8">
                  <c:v>10-09</c:v>
                </c:pt>
                <c:pt idx="9">
                  <c:v>10-10</c:v>
                </c:pt>
                <c:pt idx="10">
                  <c:v>10-11</c:v>
                </c:pt>
                <c:pt idx="11">
                  <c:v>10-12</c:v>
                </c:pt>
                <c:pt idx="12">
                  <c:v>10-13</c:v>
                </c:pt>
                <c:pt idx="13">
                  <c:v>10-14</c:v>
                </c:pt>
                <c:pt idx="14">
                  <c:v>10-15</c:v>
                </c:pt>
                <c:pt idx="15">
                  <c:v>10-16</c:v>
                </c:pt>
                <c:pt idx="16">
                  <c:v>10-17</c:v>
                </c:pt>
                <c:pt idx="17">
                  <c:v>10-18</c:v>
                </c:pt>
                <c:pt idx="18">
                  <c:v>10-19</c:v>
                </c:pt>
                <c:pt idx="19">
                  <c:v>10-20</c:v>
                </c:pt>
                <c:pt idx="20">
                  <c:v>10-21</c:v>
                </c:pt>
                <c:pt idx="21">
                  <c:v>10-22</c:v>
                </c:pt>
                <c:pt idx="22">
                  <c:v>10-23</c:v>
                </c:pt>
                <c:pt idx="23">
                  <c:v>10-24</c:v>
                </c:pt>
                <c:pt idx="24">
                  <c:v>10-25</c:v>
                </c:pt>
                <c:pt idx="25">
                  <c:v>10-26</c:v>
                </c:pt>
                <c:pt idx="26">
                  <c:v>10-27</c:v>
                </c:pt>
                <c:pt idx="27">
                  <c:v>10-28</c:v>
                </c:pt>
                <c:pt idx="28">
                  <c:v>10-29</c:v>
                </c:pt>
                <c:pt idx="29">
                  <c:v>10-30</c:v>
                </c:pt>
                <c:pt idx="30">
                  <c:v>10-31</c:v>
                </c:pt>
              </c:strCache>
            </c:strRef>
          </c:cat>
          <c:val>
            <c:numRef>
              <c:f>图表!$F$4:$F$34</c:f>
              <c:numCache>
                <c:formatCode>#,##0.00;\(#,##0.00\);"-"</c:formatCode>
                <c:ptCount val="31"/>
                <c:pt idx="0">
                  <c:v>625.02160000000003</c:v>
                </c:pt>
                <c:pt idx="1">
                  <c:v>625.58620000000008</c:v>
                </c:pt>
                <c:pt idx="2">
                  <c:v>522.5200000000001</c:v>
                </c:pt>
                <c:pt idx="3">
                  <c:v>522.9393</c:v>
                </c:pt>
                <c:pt idx="4">
                  <c:v>634.13270000000011</c:v>
                </c:pt>
                <c:pt idx="5">
                  <c:v>627.79370000000006</c:v>
                </c:pt>
                <c:pt idx="6">
                  <c:v>633.00520000000006</c:v>
                </c:pt>
                <c:pt idx="7">
                  <c:v>630.03070000000002</c:v>
                </c:pt>
                <c:pt idx="8">
                  <c:v>631.37400000000002</c:v>
                </c:pt>
                <c:pt idx="9">
                  <c:v>533.1069</c:v>
                </c:pt>
                <c:pt idx="10">
                  <c:v>521.82230000000004</c:v>
                </c:pt>
                <c:pt idx="11">
                  <c:v>636.70240000000013</c:v>
                </c:pt>
                <c:pt idx="12">
                  <c:v>639.46900000000005</c:v>
                </c:pt>
                <c:pt idx="13">
                  <c:v>635.03280000000007</c:v>
                </c:pt>
                <c:pt idx="14">
                  <c:v>643.47460000000001</c:v>
                </c:pt>
                <c:pt idx="15">
                  <c:v>636.91560000000004</c:v>
                </c:pt>
                <c:pt idx="16">
                  <c:v>524.8886</c:v>
                </c:pt>
                <c:pt idx="17">
                  <c:v>529.5489</c:v>
                </c:pt>
                <c:pt idx="18">
                  <c:v>627.92690000000005</c:v>
                </c:pt>
                <c:pt idx="19">
                  <c:v>642.00540000000001</c:v>
                </c:pt>
                <c:pt idx="20">
                  <c:v>628.89940000000001</c:v>
                </c:pt>
                <c:pt idx="21">
                  <c:v>629.02320000000009</c:v>
                </c:pt>
                <c:pt idx="22">
                  <c:v>644.95950000000005</c:v>
                </c:pt>
                <c:pt idx="23">
                  <c:v>532.54500000000007</c:v>
                </c:pt>
                <c:pt idx="24">
                  <c:v>535.88990000000013</c:v>
                </c:pt>
                <c:pt idx="25">
                  <c:v>631.09440000000006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27-479A-A455-1AA18D13F601}"/>
            </c:ext>
          </c:extLst>
        </c:ser>
        <c:ser>
          <c:idx val="1"/>
          <c:order val="1"/>
          <c:tx>
            <c:strRef>
              <c:f>图表!$G$3</c:f>
              <c:strCache>
                <c:ptCount val="1"/>
                <c:pt idx="0">
                  <c:v>10月预测USD</c:v>
                </c:pt>
              </c:strCache>
            </c:strRef>
          </c:tx>
          <c:spPr>
            <a:ln w="22000">
              <a:solidFill>
                <a:srgbClr val="2A78D6"/>
              </a:solidFill>
              <a:prstDash val="dash"/>
            </a:ln>
          </c:spPr>
          <c:marker>
            <c:symbol val="none"/>
          </c:marker>
          <c:cat>
            <c:strRef>
              <c:f>图表!$E$4:$E$34</c:f>
              <c:strCache>
                <c:ptCount val="31"/>
                <c:pt idx="0">
                  <c:v>10-01</c:v>
                </c:pt>
                <c:pt idx="1">
                  <c:v>10-02</c:v>
                </c:pt>
                <c:pt idx="2">
                  <c:v>10-03</c:v>
                </c:pt>
                <c:pt idx="3">
                  <c:v>10-04</c:v>
                </c:pt>
                <c:pt idx="4">
                  <c:v>10-05</c:v>
                </c:pt>
                <c:pt idx="5">
                  <c:v>10-06</c:v>
                </c:pt>
                <c:pt idx="6">
                  <c:v>10-07</c:v>
                </c:pt>
                <c:pt idx="7">
                  <c:v>10-08</c:v>
                </c:pt>
                <c:pt idx="8">
                  <c:v>10-09</c:v>
                </c:pt>
                <c:pt idx="9">
                  <c:v>10-10</c:v>
                </c:pt>
                <c:pt idx="10">
                  <c:v>10-11</c:v>
                </c:pt>
                <c:pt idx="11">
                  <c:v>10-12</c:v>
                </c:pt>
                <c:pt idx="12">
                  <c:v>10-13</c:v>
                </c:pt>
                <c:pt idx="13">
                  <c:v>10-14</c:v>
                </c:pt>
                <c:pt idx="14">
                  <c:v>10-15</c:v>
                </c:pt>
                <c:pt idx="15">
                  <c:v>10-16</c:v>
                </c:pt>
                <c:pt idx="16">
                  <c:v>10-17</c:v>
                </c:pt>
                <c:pt idx="17">
                  <c:v>10-18</c:v>
                </c:pt>
                <c:pt idx="18">
                  <c:v>10-19</c:v>
                </c:pt>
                <c:pt idx="19">
                  <c:v>10-20</c:v>
                </c:pt>
                <c:pt idx="20">
                  <c:v>10-21</c:v>
                </c:pt>
                <c:pt idx="21">
                  <c:v>10-22</c:v>
                </c:pt>
                <c:pt idx="22">
                  <c:v>10-23</c:v>
                </c:pt>
                <c:pt idx="23">
                  <c:v>10-24</c:v>
                </c:pt>
                <c:pt idx="24">
                  <c:v>10-25</c:v>
                </c:pt>
                <c:pt idx="25">
                  <c:v>10-26</c:v>
                </c:pt>
                <c:pt idx="26">
                  <c:v>10-27</c:v>
                </c:pt>
                <c:pt idx="27">
                  <c:v>10-28</c:v>
                </c:pt>
                <c:pt idx="28">
                  <c:v>10-29</c:v>
                </c:pt>
                <c:pt idx="29">
                  <c:v>10-30</c:v>
                </c:pt>
                <c:pt idx="30">
                  <c:v>10-31</c:v>
                </c:pt>
              </c:strCache>
            </c:strRef>
          </c:cat>
          <c:val>
            <c:numRef>
              <c:f>图表!$G$4:$G$34</c:f>
              <c:numCache>
                <c:formatCode>General</c:formatCode>
                <c:ptCount val="31"/>
                <c:pt idx="26" formatCode="#,##0.00;\(#,##0.00\);&quot;-&quot;">
                  <c:v>606.34525700000006</c:v>
                </c:pt>
                <c:pt idx="27" formatCode="#,##0.00;\(#,##0.00\);&quot;-&quot;">
                  <c:v>606.34525700000006</c:v>
                </c:pt>
                <c:pt idx="28" formatCode="#,##0.00;\(#,##0.00\);&quot;-&quot;">
                  <c:v>606.34525700000006</c:v>
                </c:pt>
                <c:pt idx="29" formatCode="#,##0.00;\(#,##0.00\);&quot;-&quot;">
                  <c:v>606.34525700000006</c:v>
                </c:pt>
                <c:pt idx="30" formatCode="#,##0.00;\(#,##0.00\);&quot;-&quot;">
                  <c:v>424.44168000000002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27-479A-A455-1AA18D13F601}"/>
            </c:ext>
          </c:extLst>
        </c:ser>
        <c:ser>
          <c:idx val="2"/>
          <c:order val="2"/>
          <c:tx>
            <c:strRef>
              <c:f>图表!$H$3</c:f>
              <c:strCache>
                <c:ptCount val="1"/>
                <c:pt idx="0">
                  <c:v>9月日均USD</c:v>
                </c:pt>
              </c:strCache>
            </c:strRef>
          </c:tx>
          <c:spPr>
            <a:ln w="22000">
              <a:solidFill>
                <a:srgbClr val="52514E"/>
              </a:solidFill>
              <a:prstDash val="solid"/>
            </a:ln>
          </c:spPr>
          <c:marker>
            <c:symbol val="none"/>
          </c:marker>
          <c:cat>
            <c:strRef>
              <c:f>图表!$E$4:$E$34</c:f>
              <c:strCache>
                <c:ptCount val="31"/>
                <c:pt idx="0">
                  <c:v>10-01</c:v>
                </c:pt>
                <c:pt idx="1">
                  <c:v>10-02</c:v>
                </c:pt>
                <c:pt idx="2">
                  <c:v>10-03</c:v>
                </c:pt>
                <c:pt idx="3">
                  <c:v>10-04</c:v>
                </c:pt>
                <c:pt idx="4">
                  <c:v>10-05</c:v>
                </c:pt>
                <c:pt idx="5">
                  <c:v>10-06</c:v>
                </c:pt>
                <c:pt idx="6">
                  <c:v>10-07</c:v>
                </c:pt>
                <c:pt idx="7">
                  <c:v>10-08</c:v>
                </c:pt>
                <c:pt idx="8">
                  <c:v>10-09</c:v>
                </c:pt>
                <c:pt idx="9">
                  <c:v>10-10</c:v>
                </c:pt>
                <c:pt idx="10">
                  <c:v>10-11</c:v>
                </c:pt>
                <c:pt idx="11">
                  <c:v>10-12</c:v>
                </c:pt>
                <c:pt idx="12">
                  <c:v>10-13</c:v>
                </c:pt>
                <c:pt idx="13">
                  <c:v>10-14</c:v>
                </c:pt>
                <c:pt idx="14">
                  <c:v>10-15</c:v>
                </c:pt>
                <c:pt idx="15">
                  <c:v>10-16</c:v>
                </c:pt>
                <c:pt idx="16">
                  <c:v>10-17</c:v>
                </c:pt>
                <c:pt idx="17">
                  <c:v>10-18</c:v>
                </c:pt>
                <c:pt idx="18">
                  <c:v>10-19</c:v>
                </c:pt>
                <c:pt idx="19">
                  <c:v>10-20</c:v>
                </c:pt>
                <c:pt idx="20">
                  <c:v>10-21</c:v>
                </c:pt>
                <c:pt idx="21">
                  <c:v>10-22</c:v>
                </c:pt>
                <c:pt idx="22">
                  <c:v>10-23</c:v>
                </c:pt>
                <c:pt idx="23">
                  <c:v>10-24</c:v>
                </c:pt>
                <c:pt idx="24">
                  <c:v>10-25</c:v>
                </c:pt>
                <c:pt idx="25">
                  <c:v>10-26</c:v>
                </c:pt>
                <c:pt idx="26">
                  <c:v>10-27</c:v>
                </c:pt>
                <c:pt idx="27">
                  <c:v>10-28</c:v>
                </c:pt>
                <c:pt idx="28">
                  <c:v>10-29</c:v>
                </c:pt>
                <c:pt idx="29">
                  <c:v>10-30</c:v>
                </c:pt>
                <c:pt idx="30">
                  <c:v>10-31</c:v>
                </c:pt>
              </c:strCache>
            </c:strRef>
          </c:cat>
          <c:val>
            <c:numRef>
              <c:f>图表!$H$4:$H$34</c:f>
              <c:numCache>
                <c:formatCode>#,##0.00;\(#,##0.00\);"-"</c:formatCode>
                <c:ptCount val="31"/>
                <c:pt idx="0">
                  <c:v>578.36475000000007</c:v>
                </c:pt>
                <c:pt idx="1">
                  <c:v>578.36475000000007</c:v>
                </c:pt>
                <c:pt idx="2">
                  <c:v>578.36475000000007</c:v>
                </c:pt>
                <c:pt idx="3">
                  <c:v>578.36475000000007</c:v>
                </c:pt>
                <c:pt idx="4">
                  <c:v>578.36475000000007</c:v>
                </c:pt>
                <c:pt idx="5">
                  <c:v>578.36475000000007</c:v>
                </c:pt>
                <c:pt idx="6">
                  <c:v>578.36475000000007</c:v>
                </c:pt>
                <c:pt idx="7">
                  <c:v>578.36475000000007</c:v>
                </c:pt>
                <c:pt idx="8">
                  <c:v>578.36475000000007</c:v>
                </c:pt>
                <c:pt idx="9">
                  <c:v>578.36475000000007</c:v>
                </c:pt>
                <c:pt idx="10">
                  <c:v>578.36475000000007</c:v>
                </c:pt>
                <c:pt idx="11">
                  <c:v>578.36475000000007</c:v>
                </c:pt>
                <c:pt idx="12">
                  <c:v>578.36475000000007</c:v>
                </c:pt>
                <c:pt idx="13">
                  <c:v>578.36475000000007</c:v>
                </c:pt>
                <c:pt idx="14">
                  <c:v>578.36475000000007</c:v>
                </c:pt>
                <c:pt idx="15">
                  <c:v>578.36475000000007</c:v>
                </c:pt>
                <c:pt idx="16">
                  <c:v>578.36475000000007</c:v>
                </c:pt>
                <c:pt idx="17">
                  <c:v>578.36475000000007</c:v>
                </c:pt>
                <c:pt idx="18">
                  <c:v>578.36475000000007</c:v>
                </c:pt>
                <c:pt idx="19">
                  <c:v>578.36475000000007</c:v>
                </c:pt>
                <c:pt idx="20">
                  <c:v>578.36475000000007</c:v>
                </c:pt>
                <c:pt idx="21">
                  <c:v>578.36475000000007</c:v>
                </c:pt>
                <c:pt idx="22">
                  <c:v>578.36475000000007</c:v>
                </c:pt>
                <c:pt idx="23">
                  <c:v>578.36475000000007</c:v>
                </c:pt>
                <c:pt idx="24">
                  <c:v>578.36475000000007</c:v>
                </c:pt>
                <c:pt idx="25">
                  <c:v>578.36475000000007</c:v>
                </c:pt>
                <c:pt idx="26">
                  <c:v>578.36475000000007</c:v>
                </c:pt>
                <c:pt idx="27">
                  <c:v>578.36475000000007</c:v>
                </c:pt>
                <c:pt idx="28">
                  <c:v>578.36475000000007</c:v>
                </c:pt>
                <c:pt idx="29">
                  <c:v>578.36475000000007</c:v>
                </c:pt>
                <c:pt idx="30">
                  <c:v>578.36475000000007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27-479A-A455-1AA18D13F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图表!$B$67</c:f>
              <c:strCache>
                <c:ptCount val="1"/>
                <c:pt idx="0">
                  <c:v>8月USD</c:v>
                </c:pt>
              </c:strCache>
            </c:strRef>
          </c:tx>
          <c:spPr>
            <a:solidFill>
              <a:srgbClr val="A09F98"/>
            </a:solidFill>
            <a:ln>
              <a:solidFill>
                <a:srgbClr val="A09F98"/>
              </a:solidFill>
              <a:prstDash val="solid"/>
            </a:ln>
          </c:spPr>
          <c:invertIfNegative val="1"/>
          <c:cat>
            <c:strRef>
              <c:f>图表!$A$68:$A$71</c:f>
              <c:strCache>
                <c:ptCount val="4"/>
                <c:pt idx="0">
                  <c:v>电商</c:v>
                </c:pt>
                <c:pt idx="1">
                  <c:v>数据平台</c:v>
                </c:pt>
                <c:pt idx="2">
                  <c:v>支付</c:v>
                </c:pt>
                <c:pt idx="3">
                  <c:v>公共网络</c:v>
                </c:pt>
              </c:strCache>
            </c:strRef>
          </c:cat>
          <c:val>
            <c:numRef>
              <c:f>图表!$B$68:$B$71</c:f>
              <c:numCache>
                <c:formatCode>#,##0.00;\(#,##0.00\);"-"</c:formatCode>
                <c:ptCount val="4"/>
                <c:pt idx="0">
                  <c:v>9893.9446000000007</c:v>
                </c:pt>
                <c:pt idx="1">
                  <c:v>4757.6990999999998</c:v>
                </c:pt>
                <c:pt idx="2">
                  <c:v>1182.0175999999999</c:v>
                </c:pt>
                <c:pt idx="3">
                  <c:v>362.7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09F9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FCF-4854-87D4-57C5DB961339}"/>
            </c:ext>
          </c:extLst>
        </c:ser>
        <c:ser>
          <c:idx val="1"/>
          <c:order val="1"/>
          <c:tx>
            <c:strRef>
              <c:f>图表!$C$67</c:f>
              <c:strCache>
                <c:ptCount val="1"/>
                <c:pt idx="0">
                  <c:v>9月USD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1"/>
          <c:cat>
            <c:strRef>
              <c:f>图表!$A$68:$A$71</c:f>
              <c:strCache>
                <c:ptCount val="4"/>
                <c:pt idx="0">
                  <c:v>电商</c:v>
                </c:pt>
                <c:pt idx="1">
                  <c:v>数据平台</c:v>
                </c:pt>
                <c:pt idx="2">
                  <c:v>支付</c:v>
                </c:pt>
                <c:pt idx="3">
                  <c:v>公共网络</c:v>
                </c:pt>
              </c:strCache>
            </c:strRef>
          </c:cat>
          <c:val>
            <c:numRef>
              <c:f>图表!$C$68:$C$71</c:f>
              <c:numCache>
                <c:formatCode>#,##0.00;\(#,##0.00\);"-"</c:formatCode>
                <c:ptCount val="4"/>
                <c:pt idx="0">
                  <c:v>9986.268</c:v>
                </c:pt>
                <c:pt idx="1">
                  <c:v>5295.8909000000003</c:v>
                </c:pt>
                <c:pt idx="2">
                  <c:v>1717.7836</c:v>
                </c:pt>
                <c:pt idx="3">
                  <c:v>351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78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FCF-4854-87D4-57C5DB961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#,##0;\-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图表!$B$74</c:f>
              <c:strCache>
                <c:ptCount val="1"/>
                <c:pt idx="0">
                  <c:v>增减USD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34948"/>
              </a:solidFill>
              <a:ln>
                <a:solidFill>
                  <a:srgbClr val="E3494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65F-4B03-8975-492641CA1337}"/>
              </c:ext>
            </c:extLst>
          </c:dPt>
          <c:dPt>
            <c:idx val="1"/>
            <c:invertIfNegative val="0"/>
            <c:bubble3D val="0"/>
            <c:spPr>
              <a:solidFill>
                <a:srgbClr val="E34948"/>
              </a:solidFill>
              <a:ln>
                <a:solidFill>
                  <a:srgbClr val="E3494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65F-4B03-8975-492641CA1337}"/>
              </c:ext>
            </c:extLst>
          </c:dPt>
          <c:dPt>
            <c:idx val="2"/>
            <c:invertIfNegative val="0"/>
            <c:bubble3D val="0"/>
            <c:spPr>
              <a:solidFill>
                <a:srgbClr val="E34948"/>
              </a:solidFill>
              <a:ln>
                <a:solidFill>
                  <a:srgbClr val="E3494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65F-4B03-8975-492641CA1337}"/>
              </c:ext>
            </c:extLst>
          </c:dPt>
          <c:dPt>
            <c:idx val="3"/>
            <c:invertIfNegative val="0"/>
            <c:bubble3D val="0"/>
            <c:spPr>
              <a:solidFill>
                <a:srgbClr val="E34948"/>
              </a:solidFill>
              <a:ln>
                <a:solidFill>
                  <a:srgbClr val="E3494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65F-4B03-8975-492641CA133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665F-4B03-8975-492641CA133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665F-4B03-8975-492641CA1337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665F-4B03-8975-492641CA1337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665F-4B03-8975-492641CA1337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665F-4B03-8975-492641CA1337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665F-4B03-8975-492641CA1337}"/>
              </c:ext>
            </c:extLst>
          </c:dPt>
          <c:cat>
            <c:strRef>
              <c:f>图表!$A$75:$A$84</c:f>
              <c:strCache>
                <c:ptCount val="10"/>
                <c:pt idx="0">
                  <c:v>Azure Database for PostgreSQL</c:v>
                </c:pt>
                <c:pt idx="1">
                  <c:v>Azure OpenAI</c:v>
                </c:pt>
                <c:pt idx="2">
                  <c:v>Log Analytics</c:v>
                </c:pt>
                <c:pt idx="3">
                  <c:v>Storage</c:v>
                </c:pt>
                <c:pt idx="4">
                  <c:v>Azure Database for MySQL</c:v>
                </c:pt>
                <c:pt idx="5">
                  <c:v>Bandwidth</c:v>
                </c:pt>
                <c:pt idx="6">
                  <c:v>Virtual Machines</c:v>
                </c:pt>
                <c:pt idx="7">
                  <c:v>Redis Cache</c:v>
                </c:pt>
                <c:pt idx="8">
                  <c:v>Application Gateway</c:v>
                </c:pt>
                <c:pt idx="9">
                  <c:v>VPN Gateway</c:v>
                </c:pt>
              </c:strCache>
            </c:strRef>
          </c:cat>
          <c:val>
            <c:numRef>
              <c:f>图表!$B$75:$B$84</c:f>
              <c:numCache>
                <c:formatCode>#,##0.00;\(#,##0.00\);"-"</c:formatCode>
                <c:ptCount val="10"/>
                <c:pt idx="0">
                  <c:v>531.20000000000005</c:v>
                </c:pt>
                <c:pt idx="1">
                  <c:v>360.60980000000001</c:v>
                </c:pt>
                <c:pt idx="2">
                  <c:v>348.63400000000001</c:v>
                </c:pt>
                <c:pt idx="3">
                  <c:v>71.957000000000107</c:v>
                </c:pt>
                <c:pt idx="4">
                  <c:v>-51.300000000000182</c:v>
                </c:pt>
                <c:pt idx="5">
                  <c:v>-41.319600000000257</c:v>
                </c:pt>
                <c:pt idx="6">
                  <c:v>-25.199999999999822</c:v>
                </c:pt>
                <c:pt idx="7">
                  <c:v>-13.19999999999999</c:v>
                </c:pt>
                <c:pt idx="8">
                  <c:v>-11.80000000000001</c:v>
                </c:pt>
                <c:pt idx="9">
                  <c:v>-11.69999999999999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65F-4B03-8975-492641CA1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#,##0;\-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图表!$B$87</c:f>
              <c:strCache>
                <c:ptCount val="1"/>
                <c:pt idx="0">
                  <c:v>增减USD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34948"/>
              </a:solidFill>
              <a:ln>
                <a:solidFill>
                  <a:srgbClr val="E3494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9FD-4F72-9D77-6DB0200C338B}"/>
              </c:ext>
            </c:extLst>
          </c:dPt>
          <c:dPt>
            <c:idx val="1"/>
            <c:invertIfNegative val="0"/>
            <c:bubble3D val="0"/>
            <c:spPr>
              <a:solidFill>
                <a:srgbClr val="E34948"/>
              </a:solidFill>
              <a:ln>
                <a:solidFill>
                  <a:srgbClr val="E3494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9FD-4F72-9D77-6DB0200C338B}"/>
              </c:ext>
            </c:extLst>
          </c:dPt>
          <c:cat>
            <c:strRef>
              <c:f>图表!$A$88:$A$89</c:f>
              <c:strCache>
                <c:ptCount val="2"/>
                <c:pt idx="0">
                  <c:v>日本东部</c:v>
                </c:pt>
                <c:pt idx="1">
                  <c:v>美国东部</c:v>
                </c:pt>
              </c:strCache>
            </c:strRef>
          </c:cat>
          <c:val>
            <c:numRef>
              <c:f>图表!$B$88:$B$89</c:f>
              <c:numCache>
                <c:formatCode>#,##0.00;\(#,##0.00\);"-"</c:formatCode>
                <c:ptCount val="2"/>
                <c:pt idx="0">
                  <c:v>616.38940000000002</c:v>
                </c:pt>
                <c:pt idx="1">
                  <c:v>538.19180000000051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FD-4F72-9D77-6DB0200C3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#,##0;\-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648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21</xdr:row>
      <xdr:rowOff>0</xdr:rowOff>
    </xdr:from>
    <xdr:ext cx="648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38</xdr:row>
      <xdr:rowOff>0</xdr:rowOff>
    </xdr:from>
    <xdr:ext cx="648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55</xdr:row>
      <xdr:rowOff>0</xdr:rowOff>
    </xdr:from>
    <xdr:ext cx="648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9</xdr:col>
      <xdr:colOff>0</xdr:colOff>
      <xdr:row>72</xdr:row>
      <xdr:rowOff>0</xdr:rowOff>
    </xdr:from>
    <xdr:ext cx="648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learn.microsoft.com/en-us/azure/well-architected/cost-optimization/check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showGridLines="0" tabSelected="1" workbookViewId="0">
      <pane ySplit="3" topLeftCell="A4" activePane="bottomLeft" state="frozen"/>
      <selection pane="bottomLeft" sqref="A1:C1"/>
    </sheetView>
  </sheetViews>
  <sheetFormatPr defaultRowHeight="14.5" x14ac:dyDescent="0.35"/>
  <cols>
    <col min="1" max="1" width="38" customWidth="1"/>
    <col min="2" max="2" width="85" customWidth="1"/>
    <col min="3" max="3" width="110" customWidth="1"/>
  </cols>
  <sheetData>
    <row r="1" spans="1:3" ht="28" customHeight="1" x14ac:dyDescent="0.35">
      <c r="A1" s="17" t="s">
        <v>0</v>
      </c>
      <c r="B1" s="17"/>
      <c r="C1" s="17"/>
    </row>
    <row r="2" spans="1:3" ht="52" customHeight="1" x14ac:dyDescent="0.35">
      <c r="A2" s="18" t="s">
        <v>1</v>
      </c>
      <c r="B2" s="18"/>
      <c r="C2" s="18"/>
    </row>
    <row r="3" spans="1:3" ht="48" customHeight="1" x14ac:dyDescent="0.35">
      <c r="A3" s="3" t="s">
        <v>2</v>
      </c>
      <c r="B3" s="3" t="s">
        <v>3</v>
      </c>
      <c r="C3" s="3" t="s">
        <v>4</v>
      </c>
    </row>
    <row r="4" spans="1:3" x14ac:dyDescent="0.35">
      <c r="A4" s="4" t="s">
        <v>5</v>
      </c>
      <c r="B4" s="5">
        <v>5</v>
      </c>
      <c r="C4" s="4" t="s">
        <v>6</v>
      </c>
    </row>
    <row r="5" spans="1:3" x14ac:dyDescent="0.35">
      <c r="A5" s="2" t="s">
        <v>7</v>
      </c>
      <c r="B5" s="6">
        <f>订阅对比!D4+订阅对比!D5+订阅对比!D6+订阅对比!D7+订阅对比!D8</f>
        <v>17350.942500000001</v>
      </c>
      <c r="C5" s="2" t="s">
        <v>8</v>
      </c>
    </row>
    <row r="6" spans="1:3" x14ac:dyDescent="0.35">
      <c r="A6" s="4" t="s">
        <v>9</v>
      </c>
      <c r="B6" s="7">
        <f>订阅对比!C4+订阅对比!C5+订阅对比!C6+订阅对比!C7+订阅对比!C8</f>
        <v>16196.361299999999</v>
      </c>
      <c r="C6" s="4" t="s">
        <v>10</v>
      </c>
    </row>
    <row r="7" spans="1:3" x14ac:dyDescent="0.35">
      <c r="A7" s="2" t="s">
        <v>11</v>
      </c>
      <c r="B7" s="8">
        <f>B5-B6</f>
        <v>1154.5812000000024</v>
      </c>
      <c r="C7" s="2" t="s">
        <v>12</v>
      </c>
    </row>
    <row r="8" spans="1:3" x14ac:dyDescent="0.35">
      <c r="A8" s="4" t="s">
        <v>13</v>
      </c>
      <c r="B8" s="9">
        <f>B5/B6-1</f>
        <v>7.1286456174573187E-2</v>
      </c>
      <c r="C8" s="4" t="s">
        <v>14</v>
      </c>
    </row>
    <row r="9" spans="1:3" x14ac:dyDescent="0.35">
      <c r="A9" s="2" t="s">
        <v>15</v>
      </c>
      <c r="B9" s="8">
        <f>B5/30</f>
        <v>578.36475000000007</v>
      </c>
      <c r="C9" s="2" t="s">
        <v>16</v>
      </c>
    </row>
    <row r="10" spans="1:3" x14ac:dyDescent="0.35">
      <c r="A10" s="4" t="s">
        <v>17</v>
      </c>
      <c r="B10" s="10">
        <f>B6/31</f>
        <v>522.4632677419354</v>
      </c>
      <c r="C10" s="4" t="s">
        <v>18</v>
      </c>
    </row>
    <row r="11" spans="1:3" x14ac:dyDescent="0.35">
      <c r="A11" s="2" t="s">
        <v>19</v>
      </c>
      <c r="B11" s="11">
        <f>B9/B10-1</f>
        <v>0.10699600471372572</v>
      </c>
      <c r="C11" s="2" t="s">
        <v>20</v>
      </c>
    </row>
    <row r="12" spans="1:3" x14ac:dyDescent="0.35">
      <c r="A12" s="4" t="s">
        <v>21</v>
      </c>
      <c r="B12" s="5">
        <v>17350.942500000001</v>
      </c>
      <c r="C12" s="4" t="s">
        <v>22</v>
      </c>
    </row>
    <row r="13" spans="1:3" x14ac:dyDescent="0.35">
      <c r="A13" s="2" t="s">
        <v>23</v>
      </c>
      <c r="B13" s="2" t="s">
        <v>24</v>
      </c>
      <c r="C13" s="2" t="s">
        <v>25</v>
      </c>
    </row>
    <row r="14" spans="1:3" x14ac:dyDescent="0.35">
      <c r="A14" s="4" t="s">
        <v>26</v>
      </c>
      <c r="B14" s="5">
        <v>18475.530908000001</v>
      </c>
      <c r="C14" s="4" t="s">
        <v>27</v>
      </c>
    </row>
  </sheetData>
  <autoFilter ref="A3:C14" xr:uid="{00000000-0009-0000-0000-000000000000}"/>
  <mergeCells count="2">
    <mergeCell ref="A1:C1"/>
    <mergeCell ref="A2:C2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9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10" width="24" customWidth="1"/>
  </cols>
  <sheetData>
    <row r="1" spans="1:10" ht="28" customHeight="1" x14ac:dyDescent="0.35">
      <c r="A1" s="17" t="s">
        <v>28</v>
      </c>
      <c r="B1" s="17"/>
      <c r="C1" s="17"/>
      <c r="D1" s="17"/>
      <c r="E1" s="17"/>
      <c r="F1" s="17"/>
      <c r="G1" s="17"/>
      <c r="H1" s="17"/>
      <c r="I1" s="1"/>
      <c r="J1" s="1"/>
    </row>
    <row r="2" spans="1:10" ht="52" customHeight="1" x14ac:dyDescent="0.35">
      <c r="A2" s="18" t="s">
        <v>29</v>
      </c>
      <c r="B2" s="18"/>
      <c r="C2" s="18"/>
      <c r="D2" s="18"/>
      <c r="E2" s="18"/>
      <c r="F2" s="18"/>
      <c r="G2" s="18"/>
      <c r="H2" s="18"/>
      <c r="I2" s="2"/>
      <c r="J2" s="2"/>
    </row>
    <row r="3" spans="1:10" ht="48" customHeight="1" x14ac:dyDescent="0.35">
      <c r="A3" s="3" t="s">
        <v>30</v>
      </c>
      <c r="B3" s="3" t="s">
        <v>31</v>
      </c>
      <c r="C3" s="3" t="s">
        <v>32</v>
      </c>
      <c r="D3" s="3"/>
      <c r="E3" s="3" t="s">
        <v>33</v>
      </c>
      <c r="F3" s="3" t="s">
        <v>34</v>
      </c>
      <c r="G3" s="3" t="s">
        <v>35</v>
      </c>
      <c r="H3" s="3" t="s">
        <v>15</v>
      </c>
      <c r="I3" s="3"/>
      <c r="J3" s="3"/>
    </row>
    <row r="4" spans="1:10" x14ac:dyDescent="0.35">
      <c r="A4" s="4" t="s">
        <v>36</v>
      </c>
      <c r="B4" s="5">
        <v>461.14850000000001</v>
      </c>
      <c r="C4" s="4"/>
      <c r="D4" s="4"/>
      <c r="E4" s="4" t="s">
        <v>37</v>
      </c>
      <c r="F4" s="5">
        <v>625.02160000000003</v>
      </c>
      <c r="G4" s="4"/>
      <c r="H4" s="5">
        <v>578.36475000000007</v>
      </c>
      <c r="I4" s="4"/>
      <c r="J4" s="4" t="s">
        <v>38</v>
      </c>
    </row>
    <row r="5" spans="1:10" x14ac:dyDescent="0.35">
      <c r="A5" s="2" t="s">
        <v>39</v>
      </c>
      <c r="B5" s="12">
        <v>455.50380000000001</v>
      </c>
      <c r="C5" s="2"/>
      <c r="D5" s="2"/>
      <c r="E5" s="2" t="s">
        <v>40</v>
      </c>
      <c r="F5" s="12">
        <v>625.58620000000008</v>
      </c>
      <c r="G5" s="2"/>
      <c r="H5" s="12">
        <v>578.36475000000007</v>
      </c>
      <c r="I5" s="2"/>
      <c r="J5" s="2"/>
    </row>
    <row r="6" spans="1:10" x14ac:dyDescent="0.35">
      <c r="A6" s="4" t="s">
        <v>41</v>
      </c>
      <c r="B6" s="5">
        <v>563.57100000000003</v>
      </c>
      <c r="C6" s="4"/>
      <c r="D6" s="4"/>
      <c r="E6" s="4" t="s">
        <v>42</v>
      </c>
      <c r="F6" s="5">
        <v>522.5200000000001</v>
      </c>
      <c r="G6" s="4"/>
      <c r="H6" s="5">
        <v>578.36475000000007</v>
      </c>
      <c r="I6" s="4"/>
      <c r="J6" s="4"/>
    </row>
    <row r="7" spans="1:10" x14ac:dyDescent="0.35">
      <c r="A7" s="2" t="s">
        <v>43</v>
      </c>
      <c r="B7" s="12">
        <v>550.92129999999997</v>
      </c>
      <c r="C7" s="2"/>
      <c r="D7" s="2"/>
      <c r="E7" s="2" t="s">
        <v>44</v>
      </c>
      <c r="F7" s="12">
        <v>522.9393</v>
      </c>
      <c r="G7" s="2"/>
      <c r="H7" s="12">
        <v>578.36475000000007</v>
      </c>
      <c r="I7" s="2"/>
      <c r="J7" s="2"/>
    </row>
    <row r="8" spans="1:10" x14ac:dyDescent="0.35">
      <c r="A8" s="4" t="s">
        <v>45</v>
      </c>
      <c r="B8" s="5">
        <v>556.50670000000002</v>
      </c>
      <c r="C8" s="4"/>
      <c r="D8" s="4"/>
      <c r="E8" s="4" t="s">
        <v>46</v>
      </c>
      <c r="F8" s="5">
        <v>634.13270000000011</v>
      </c>
      <c r="G8" s="4"/>
      <c r="H8" s="5">
        <v>578.36475000000007</v>
      </c>
      <c r="I8" s="4"/>
      <c r="J8" s="4"/>
    </row>
    <row r="9" spans="1:10" x14ac:dyDescent="0.35">
      <c r="A9" s="2" t="s">
        <v>47</v>
      </c>
      <c r="B9" s="12">
        <v>543.50699999999995</v>
      </c>
      <c r="C9" s="2"/>
      <c r="D9" s="2"/>
      <c r="E9" s="2" t="s">
        <v>48</v>
      </c>
      <c r="F9" s="12">
        <v>627.79370000000006</v>
      </c>
      <c r="G9" s="2"/>
      <c r="H9" s="12">
        <v>578.36475000000007</v>
      </c>
      <c r="I9" s="2"/>
      <c r="J9" s="2"/>
    </row>
    <row r="10" spans="1:10" x14ac:dyDescent="0.35">
      <c r="A10" s="4" t="s">
        <v>49</v>
      </c>
      <c r="B10" s="5">
        <v>554.72490000000005</v>
      </c>
      <c r="C10" s="4"/>
      <c r="D10" s="4"/>
      <c r="E10" s="4" t="s">
        <v>50</v>
      </c>
      <c r="F10" s="5">
        <v>633.00520000000006</v>
      </c>
      <c r="G10" s="4"/>
      <c r="H10" s="5">
        <v>578.36475000000007</v>
      </c>
      <c r="I10" s="4"/>
      <c r="J10" s="4"/>
    </row>
    <row r="11" spans="1:10" x14ac:dyDescent="0.35">
      <c r="A11" s="2" t="s">
        <v>51</v>
      </c>
      <c r="B11" s="12">
        <v>463.85899999999998</v>
      </c>
      <c r="C11" s="2"/>
      <c r="D11" s="2"/>
      <c r="E11" s="2" t="s">
        <v>52</v>
      </c>
      <c r="F11" s="12">
        <v>630.03070000000002</v>
      </c>
      <c r="G11" s="2"/>
      <c r="H11" s="12">
        <v>578.36475000000007</v>
      </c>
      <c r="I11" s="2"/>
      <c r="J11" s="2"/>
    </row>
    <row r="12" spans="1:10" x14ac:dyDescent="0.35">
      <c r="A12" s="4" t="s">
        <v>53</v>
      </c>
      <c r="B12" s="5">
        <v>453.40100000000001</v>
      </c>
      <c r="C12" s="4"/>
      <c r="D12" s="4"/>
      <c r="E12" s="4" t="s">
        <v>54</v>
      </c>
      <c r="F12" s="5">
        <v>631.37400000000002</v>
      </c>
      <c r="G12" s="4"/>
      <c r="H12" s="5">
        <v>578.36475000000007</v>
      </c>
      <c r="I12" s="4"/>
      <c r="J12" s="4"/>
    </row>
    <row r="13" spans="1:10" x14ac:dyDescent="0.35">
      <c r="A13" s="2" t="s">
        <v>55</v>
      </c>
      <c r="B13" s="12">
        <v>555.22130000000004</v>
      </c>
      <c r="C13" s="2"/>
      <c r="D13" s="2"/>
      <c r="E13" s="2" t="s">
        <v>56</v>
      </c>
      <c r="F13" s="12">
        <v>533.1069</v>
      </c>
      <c r="G13" s="2"/>
      <c r="H13" s="12">
        <v>578.36475000000007</v>
      </c>
      <c r="I13" s="2"/>
      <c r="J13" s="2"/>
    </row>
    <row r="14" spans="1:10" x14ac:dyDescent="0.35">
      <c r="A14" s="4" t="s">
        <v>57</v>
      </c>
      <c r="B14" s="5">
        <v>551.94960000000003</v>
      </c>
      <c r="C14" s="4"/>
      <c r="D14" s="4"/>
      <c r="E14" s="4" t="s">
        <v>58</v>
      </c>
      <c r="F14" s="5">
        <v>521.82230000000004</v>
      </c>
      <c r="G14" s="4"/>
      <c r="H14" s="5">
        <v>578.36475000000007</v>
      </c>
      <c r="I14" s="4"/>
      <c r="J14" s="4"/>
    </row>
    <row r="15" spans="1:10" x14ac:dyDescent="0.35">
      <c r="A15" s="2" t="s">
        <v>59</v>
      </c>
      <c r="B15" s="12">
        <v>553.93650000000002</v>
      </c>
      <c r="C15" s="2"/>
      <c r="D15" s="2"/>
      <c r="E15" s="2" t="s">
        <v>60</v>
      </c>
      <c r="F15" s="12">
        <v>636.70240000000013</v>
      </c>
      <c r="G15" s="2"/>
      <c r="H15" s="12">
        <v>578.36475000000007</v>
      </c>
      <c r="I15" s="2"/>
      <c r="J15" s="2"/>
    </row>
    <row r="16" spans="1:10" x14ac:dyDescent="0.35">
      <c r="A16" s="4" t="s">
        <v>61</v>
      </c>
      <c r="B16" s="5">
        <v>545.68809999999996</v>
      </c>
      <c r="C16" s="4"/>
      <c r="D16" s="4"/>
      <c r="E16" s="4" t="s">
        <v>62</v>
      </c>
      <c r="F16" s="5">
        <v>639.46900000000005</v>
      </c>
      <c r="G16" s="4"/>
      <c r="H16" s="5">
        <v>578.36475000000007</v>
      </c>
      <c r="I16" s="4"/>
      <c r="J16" s="4"/>
    </row>
    <row r="17" spans="1:10" x14ac:dyDescent="0.35">
      <c r="A17" s="2" t="s">
        <v>63</v>
      </c>
      <c r="B17" s="12">
        <v>559.62130000000002</v>
      </c>
      <c r="C17" s="2"/>
      <c r="D17" s="2"/>
      <c r="E17" s="2" t="s">
        <v>64</v>
      </c>
      <c r="F17" s="12">
        <v>635.03280000000007</v>
      </c>
      <c r="G17" s="2"/>
      <c r="H17" s="12">
        <v>578.36475000000007</v>
      </c>
      <c r="I17" s="2"/>
      <c r="J17" s="2"/>
    </row>
    <row r="18" spans="1:10" x14ac:dyDescent="0.35">
      <c r="A18" s="4" t="s">
        <v>65</v>
      </c>
      <c r="B18" s="5">
        <v>456.20760000000001</v>
      </c>
      <c r="C18" s="4"/>
      <c r="D18" s="4"/>
      <c r="E18" s="4" t="s">
        <v>66</v>
      </c>
      <c r="F18" s="5">
        <v>643.47460000000001</v>
      </c>
      <c r="G18" s="4"/>
      <c r="H18" s="5">
        <v>578.36475000000007</v>
      </c>
      <c r="I18" s="4"/>
      <c r="J18" s="4"/>
    </row>
    <row r="19" spans="1:10" x14ac:dyDescent="0.35">
      <c r="A19" s="2" t="s">
        <v>67</v>
      </c>
      <c r="B19" s="12">
        <v>464.64600000000002</v>
      </c>
      <c r="C19" s="2"/>
      <c r="D19" s="2"/>
      <c r="E19" s="2" t="s">
        <v>68</v>
      </c>
      <c r="F19" s="12">
        <v>636.91560000000004</v>
      </c>
      <c r="G19" s="2"/>
      <c r="H19" s="12">
        <v>578.36475000000007</v>
      </c>
      <c r="I19" s="2"/>
      <c r="J19" s="2"/>
    </row>
    <row r="20" spans="1:10" x14ac:dyDescent="0.35">
      <c r="A20" s="4" t="s">
        <v>69</v>
      </c>
      <c r="B20" s="5">
        <v>563.87400000000002</v>
      </c>
      <c r="C20" s="4"/>
      <c r="D20" s="4"/>
      <c r="E20" s="4" t="s">
        <v>70</v>
      </c>
      <c r="F20" s="5">
        <v>524.8886</v>
      </c>
      <c r="G20" s="4"/>
      <c r="H20" s="5">
        <v>578.36475000000007</v>
      </c>
      <c r="I20" s="4"/>
      <c r="J20" s="4"/>
    </row>
    <row r="21" spans="1:10" ht="25" x14ac:dyDescent="0.35">
      <c r="A21" s="2" t="s">
        <v>71</v>
      </c>
      <c r="B21" s="12">
        <v>546.76220000000001</v>
      </c>
      <c r="C21" s="2"/>
      <c r="D21" s="2"/>
      <c r="E21" s="2" t="s">
        <v>72</v>
      </c>
      <c r="F21" s="12">
        <v>529.5489</v>
      </c>
      <c r="G21" s="2"/>
      <c r="H21" s="12">
        <v>578.36475000000007</v>
      </c>
      <c r="I21" s="2"/>
      <c r="J21" s="2" t="s">
        <v>73</v>
      </c>
    </row>
    <row r="22" spans="1:10" x14ac:dyDescent="0.35">
      <c r="A22" s="4" t="s">
        <v>74</v>
      </c>
      <c r="B22" s="5">
        <v>544.72749999999996</v>
      </c>
      <c r="C22" s="4"/>
      <c r="D22" s="4"/>
      <c r="E22" s="4" t="s">
        <v>75</v>
      </c>
      <c r="F22" s="5">
        <v>627.92690000000005</v>
      </c>
      <c r="G22" s="4"/>
      <c r="H22" s="5">
        <v>578.36475000000007</v>
      </c>
      <c r="I22" s="4"/>
      <c r="J22" s="4"/>
    </row>
    <row r="23" spans="1:10" x14ac:dyDescent="0.35">
      <c r="A23" s="2" t="s">
        <v>76</v>
      </c>
      <c r="B23" s="12">
        <v>555.17280000000005</v>
      </c>
      <c r="C23" s="2"/>
      <c r="D23" s="2"/>
      <c r="E23" s="2" t="s">
        <v>77</v>
      </c>
      <c r="F23" s="12">
        <v>642.00540000000001</v>
      </c>
      <c r="G23" s="2"/>
      <c r="H23" s="12">
        <v>578.36475000000007</v>
      </c>
      <c r="I23" s="2"/>
      <c r="J23" s="2"/>
    </row>
    <row r="24" spans="1:10" x14ac:dyDescent="0.35">
      <c r="A24" s="4" t="s">
        <v>78</v>
      </c>
      <c r="B24" s="5">
        <v>555.51290000000006</v>
      </c>
      <c r="C24" s="4"/>
      <c r="D24" s="4"/>
      <c r="E24" s="4" t="s">
        <v>79</v>
      </c>
      <c r="F24" s="5">
        <v>628.89940000000001</v>
      </c>
      <c r="G24" s="4"/>
      <c r="H24" s="5">
        <v>578.36475000000007</v>
      </c>
      <c r="I24" s="4"/>
      <c r="J24" s="4"/>
    </row>
    <row r="25" spans="1:10" x14ac:dyDescent="0.35">
      <c r="A25" s="2" t="s">
        <v>80</v>
      </c>
      <c r="B25" s="12">
        <v>456.7817</v>
      </c>
      <c r="C25" s="2"/>
      <c r="D25" s="2"/>
      <c r="E25" s="2" t="s">
        <v>81</v>
      </c>
      <c r="F25" s="12">
        <v>629.02320000000009</v>
      </c>
      <c r="G25" s="2"/>
      <c r="H25" s="12">
        <v>578.36475000000007</v>
      </c>
      <c r="I25" s="2"/>
      <c r="J25" s="2"/>
    </row>
    <row r="26" spans="1:10" x14ac:dyDescent="0.35">
      <c r="A26" s="4" t="s">
        <v>82</v>
      </c>
      <c r="B26" s="5">
        <v>452.0933</v>
      </c>
      <c r="C26" s="4"/>
      <c r="D26" s="4"/>
      <c r="E26" s="4" t="s">
        <v>83</v>
      </c>
      <c r="F26" s="5">
        <v>644.95950000000005</v>
      </c>
      <c r="G26" s="4"/>
      <c r="H26" s="5">
        <v>578.36475000000007</v>
      </c>
      <c r="I26" s="4"/>
      <c r="J26" s="4"/>
    </row>
    <row r="27" spans="1:10" x14ac:dyDescent="0.35">
      <c r="A27" s="2" t="s">
        <v>84</v>
      </c>
      <c r="B27" s="12">
        <v>555.11469999999997</v>
      </c>
      <c r="C27" s="2"/>
      <c r="D27" s="2"/>
      <c r="E27" s="2" t="s">
        <v>85</v>
      </c>
      <c r="F27" s="12">
        <v>532.54500000000007</v>
      </c>
      <c r="G27" s="2"/>
      <c r="H27" s="12">
        <v>578.36475000000007</v>
      </c>
      <c r="I27" s="2"/>
      <c r="J27" s="2"/>
    </row>
    <row r="28" spans="1:10" x14ac:dyDescent="0.35">
      <c r="A28" s="4" t="s">
        <v>86</v>
      </c>
      <c r="B28" s="5">
        <v>558.48099999999999</v>
      </c>
      <c r="C28" s="4"/>
      <c r="D28" s="4"/>
      <c r="E28" s="4" t="s">
        <v>87</v>
      </c>
      <c r="F28" s="5">
        <v>535.88990000000013</v>
      </c>
      <c r="G28" s="4"/>
      <c r="H28" s="5">
        <v>578.36475000000007</v>
      </c>
      <c r="I28" s="4"/>
      <c r="J28" s="4"/>
    </row>
    <row r="29" spans="1:10" x14ac:dyDescent="0.35">
      <c r="A29" s="2" t="s">
        <v>88</v>
      </c>
      <c r="B29" s="12">
        <v>553.61919999999998</v>
      </c>
      <c r="C29" s="2"/>
      <c r="D29" s="2"/>
      <c r="E29" s="2" t="s">
        <v>89</v>
      </c>
      <c r="F29" s="12">
        <v>631.09440000000006</v>
      </c>
      <c r="G29" s="2"/>
      <c r="H29" s="12">
        <v>578.36475000000007</v>
      </c>
      <c r="I29" s="2"/>
      <c r="J29" s="2"/>
    </row>
    <row r="30" spans="1:10" x14ac:dyDescent="0.35">
      <c r="A30" s="4" t="s">
        <v>90</v>
      </c>
      <c r="B30" s="5">
        <v>551.22130000000004</v>
      </c>
      <c r="C30" s="4"/>
      <c r="D30" s="4"/>
      <c r="E30" s="4" t="s">
        <v>91</v>
      </c>
      <c r="F30" s="4"/>
      <c r="G30" s="5">
        <v>606.34525700000006</v>
      </c>
      <c r="H30" s="5">
        <v>578.36475000000007</v>
      </c>
      <c r="I30" s="4"/>
      <c r="J30" s="4"/>
    </row>
    <row r="31" spans="1:10" x14ac:dyDescent="0.35">
      <c r="A31" s="2" t="s">
        <v>92</v>
      </c>
      <c r="B31" s="12">
        <v>545.29280000000006</v>
      </c>
      <c r="C31" s="2"/>
      <c r="D31" s="2"/>
      <c r="E31" s="2" t="s">
        <v>93</v>
      </c>
      <c r="F31" s="2"/>
      <c r="G31" s="12">
        <v>606.34525700000006</v>
      </c>
      <c r="H31" s="12">
        <v>578.36475000000007</v>
      </c>
      <c r="I31" s="2"/>
      <c r="J31" s="2"/>
    </row>
    <row r="32" spans="1:10" x14ac:dyDescent="0.35">
      <c r="A32" s="4" t="s">
        <v>94</v>
      </c>
      <c r="B32" s="5">
        <v>460.24250000000001</v>
      </c>
      <c r="C32" s="4"/>
      <c r="D32" s="4"/>
      <c r="E32" s="4" t="s">
        <v>95</v>
      </c>
      <c r="F32" s="4"/>
      <c r="G32" s="5">
        <v>606.34525700000006</v>
      </c>
      <c r="H32" s="5">
        <v>578.36475000000007</v>
      </c>
      <c r="I32" s="4"/>
      <c r="J32" s="4"/>
    </row>
    <row r="33" spans="1:10" x14ac:dyDescent="0.35">
      <c r="A33" s="2" t="s">
        <v>96</v>
      </c>
      <c r="B33" s="12">
        <v>462.1037</v>
      </c>
      <c r="C33" s="2"/>
      <c r="D33" s="2"/>
      <c r="E33" s="2" t="s">
        <v>97</v>
      </c>
      <c r="F33" s="2"/>
      <c r="G33" s="12">
        <v>606.34525700000006</v>
      </c>
      <c r="H33" s="12">
        <v>578.36475000000007</v>
      </c>
      <c r="I33" s="2"/>
      <c r="J33" s="2"/>
    </row>
    <row r="34" spans="1:10" x14ac:dyDescent="0.35">
      <c r="A34" s="4" t="s">
        <v>98</v>
      </c>
      <c r="B34" s="5">
        <v>544.94809999999995</v>
      </c>
      <c r="C34" s="4"/>
      <c r="D34" s="4"/>
      <c r="E34" s="4" t="s">
        <v>99</v>
      </c>
      <c r="F34" s="4"/>
      <c r="G34" s="5">
        <v>424.44168000000002</v>
      </c>
      <c r="H34" s="5">
        <v>578.36475000000007</v>
      </c>
      <c r="I34" s="4"/>
      <c r="J34" s="4"/>
    </row>
    <row r="35" spans="1:10" x14ac:dyDescent="0.35">
      <c r="A35" s="2" t="s">
        <v>100</v>
      </c>
      <c r="B35" s="2"/>
      <c r="C35" s="12">
        <v>553.49680000000001</v>
      </c>
      <c r="D35" s="2"/>
      <c r="E35" s="2"/>
      <c r="F35" s="2"/>
      <c r="G35" s="2"/>
      <c r="H35" s="2"/>
      <c r="I35" s="2"/>
      <c r="J35" s="2"/>
    </row>
    <row r="36" spans="1:10" x14ac:dyDescent="0.35">
      <c r="A36" s="4" t="s">
        <v>101</v>
      </c>
      <c r="B36" s="4"/>
      <c r="C36" s="5">
        <v>559.88810000000001</v>
      </c>
      <c r="D36" s="4"/>
      <c r="E36" s="4"/>
      <c r="F36" s="4"/>
      <c r="G36" s="4"/>
      <c r="H36" s="4"/>
      <c r="I36" s="4"/>
      <c r="J36" s="4"/>
    </row>
    <row r="37" spans="1:10" x14ac:dyDescent="0.35">
      <c r="A37" s="2" t="s">
        <v>102</v>
      </c>
      <c r="B37" s="2"/>
      <c r="C37" s="12">
        <v>555.70730000000003</v>
      </c>
      <c r="D37" s="2"/>
      <c r="E37" s="2"/>
      <c r="F37" s="2"/>
      <c r="G37" s="2"/>
      <c r="H37" s="2"/>
      <c r="I37" s="2"/>
      <c r="J37" s="2"/>
    </row>
    <row r="38" spans="1:10" ht="25" x14ac:dyDescent="0.35">
      <c r="A38" s="4" t="s">
        <v>103</v>
      </c>
      <c r="B38" s="4"/>
      <c r="C38" s="5">
        <v>571.92809999999997</v>
      </c>
      <c r="D38" s="4"/>
      <c r="E38" s="4"/>
      <c r="F38" s="4"/>
      <c r="G38" s="4"/>
      <c r="H38" s="4"/>
      <c r="I38" s="4"/>
      <c r="J38" s="4" t="s">
        <v>104</v>
      </c>
    </row>
    <row r="39" spans="1:10" x14ac:dyDescent="0.35">
      <c r="A39" s="2" t="s">
        <v>105</v>
      </c>
      <c r="B39" s="2"/>
      <c r="C39" s="12">
        <v>459.32940000000002</v>
      </c>
      <c r="D39" s="2"/>
      <c r="E39" s="2"/>
      <c r="F39" s="2"/>
      <c r="G39" s="2"/>
      <c r="H39" s="2"/>
      <c r="I39" s="2"/>
      <c r="J39" s="2"/>
    </row>
    <row r="40" spans="1:10" x14ac:dyDescent="0.35">
      <c r="A40" s="4" t="s">
        <v>106</v>
      </c>
      <c r="B40" s="4"/>
      <c r="C40" s="5">
        <v>466.36869999999999</v>
      </c>
      <c r="D40" s="4"/>
      <c r="E40" s="4"/>
      <c r="F40" s="4"/>
      <c r="G40" s="4"/>
      <c r="H40" s="4"/>
      <c r="I40" s="4"/>
      <c r="J40" s="4"/>
    </row>
    <row r="41" spans="1:10" x14ac:dyDescent="0.35">
      <c r="A41" s="2" t="s">
        <v>107</v>
      </c>
      <c r="B41" s="2"/>
      <c r="C41" s="12">
        <v>565.64239999999995</v>
      </c>
      <c r="D41" s="2"/>
      <c r="E41" s="2"/>
      <c r="F41" s="2"/>
      <c r="G41" s="2"/>
      <c r="H41" s="2"/>
      <c r="I41" s="2"/>
      <c r="J41" s="2"/>
    </row>
    <row r="42" spans="1:10" x14ac:dyDescent="0.35">
      <c r="A42" s="4" t="s">
        <v>108</v>
      </c>
      <c r="B42" s="4"/>
      <c r="C42" s="5">
        <v>586.09050000000002</v>
      </c>
      <c r="D42" s="4"/>
      <c r="E42" s="4"/>
      <c r="F42" s="4"/>
      <c r="G42" s="4"/>
      <c r="H42" s="4"/>
      <c r="I42" s="4"/>
      <c r="J42" s="4"/>
    </row>
    <row r="43" spans="1:10" x14ac:dyDescent="0.35">
      <c r="A43" s="2" t="s">
        <v>109</v>
      </c>
      <c r="B43" s="2"/>
      <c r="C43" s="12">
        <v>597.45690000000002</v>
      </c>
      <c r="D43" s="2"/>
      <c r="E43" s="2"/>
      <c r="F43" s="2"/>
      <c r="G43" s="2"/>
      <c r="H43" s="2"/>
      <c r="I43" s="2"/>
      <c r="J43" s="2"/>
    </row>
    <row r="44" spans="1:10" x14ac:dyDescent="0.35">
      <c r="A44" s="4" t="s">
        <v>110</v>
      </c>
      <c r="B44" s="4"/>
      <c r="C44" s="5">
        <v>598.43500000000006</v>
      </c>
      <c r="D44" s="4"/>
      <c r="E44" s="4"/>
      <c r="F44" s="4"/>
      <c r="G44" s="4"/>
      <c r="H44" s="4"/>
      <c r="I44" s="4"/>
      <c r="J44" s="4"/>
    </row>
    <row r="45" spans="1:10" x14ac:dyDescent="0.35">
      <c r="A45" s="2" t="s">
        <v>111</v>
      </c>
      <c r="B45" s="2"/>
      <c r="C45" s="12">
        <v>592.74289999999996</v>
      </c>
      <c r="D45" s="2"/>
      <c r="E45" s="2"/>
      <c r="F45" s="2"/>
      <c r="G45" s="2"/>
      <c r="H45" s="2"/>
      <c r="I45" s="2"/>
      <c r="J45" s="2"/>
    </row>
    <row r="46" spans="1:10" x14ac:dyDescent="0.35">
      <c r="A46" s="4" t="s">
        <v>112</v>
      </c>
      <c r="B46" s="4"/>
      <c r="C46" s="5">
        <v>497.28289999999998</v>
      </c>
      <c r="D46" s="4"/>
      <c r="E46" s="4"/>
      <c r="F46" s="4"/>
      <c r="G46" s="4"/>
      <c r="H46" s="4"/>
      <c r="I46" s="4"/>
      <c r="J46" s="4"/>
    </row>
    <row r="47" spans="1:10" x14ac:dyDescent="0.35">
      <c r="A47" s="2" t="s">
        <v>113</v>
      </c>
      <c r="B47" s="2"/>
      <c r="C47" s="12">
        <v>502.35759999999999</v>
      </c>
      <c r="D47" s="2"/>
      <c r="E47" s="2"/>
      <c r="F47" s="2"/>
      <c r="G47" s="2"/>
      <c r="H47" s="2"/>
      <c r="I47" s="2"/>
      <c r="J47" s="2"/>
    </row>
    <row r="48" spans="1:10" x14ac:dyDescent="0.35">
      <c r="A48" s="4" t="s">
        <v>114</v>
      </c>
      <c r="B48" s="4"/>
      <c r="C48" s="5">
        <v>599.6875</v>
      </c>
      <c r="D48" s="4"/>
      <c r="E48" s="4"/>
      <c r="F48" s="4"/>
      <c r="G48" s="4"/>
      <c r="H48" s="4"/>
      <c r="I48" s="4"/>
      <c r="J48" s="4"/>
    </row>
    <row r="49" spans="1:10" x14ac:dyDescent="0.35">
      <c r="A49" s="2" t="s">
        <v>115</v>
      </c>
      <c r="B49" s="2"/>
      <c r="C49" s="12">
        <v>636.48860000000002</v>
      </c>
      <c r="D49" s="2"/>
      <c r="E49" s="2"/>
      <c r="F49" s="2"/>
      <c r="G49" s="2"/>
      <c r="H49" s="2"/>
      <c r="I49" s="2"/>
      <c r="J49" s="2"/>
    </row>
    <row r="50" spans="1:10" x14ac:dyDescent="0.35">
      <c r="A50" s="4" t="s">
        <v>116</v>
      </c>
      <c r="B50" s="4"/>
      <c r="C50" s="5">
        <v>617.72800000000007</v>
      </c>
      <c r="D50" s="4"/>
      <c r="E50" s="4"/>
      <c r="F50" s="4"/>
      <c r="G50" s="4"/>
      <c r="H50" s="4"/>
      <c r="I50" s="4"/>
      <c r="J50" s="4"/>
    </row>
    <row r="51" spans="1:10" x14ac:dyDescent="0.35">
      <c r="A51" s="2" t="s">
        <v>117</v>
      </c>
      <c r="B51" s="2"/>
      <c r="C51" s="12">
        <v>631.40219999999999</v>
      </c>
      <c r="D51" s="2"/>
      <c r="E51" s="2"/>
      <c r="F51" s="2"/>
      <c r="G51" s="2"/>
      <c r="H51" s="2"/>
      <c r="I51" s="2"/>
      <c r="J51" s="2"/>
    </row>
    <row r="52" spans="1:10" x14ac:dyDescent="0.35">
      <c r="A52" s="4" t="s">
        <v>118</v>
      </c>
      <c r="B52" s="4"/>
      <c r="C52" s="5">
        <v>632.36149999999998</v>
      </c>
      <c r="D52" s="4"/>
      <c r="E52" s="4"/>
      <c r="F52" s="4"/>
      <c r="G52" s="4"/>
      <c r="H52" s="4"/>
      <c r="I52" s="4"/>
      <c r="J52" s="4"/>
    </row>
    <row r="53" spans="1:10" x14ac:dyDescent="0.35">
      <c r="A53" s="2" t="s">
        <v>119</v>
      </c>
      <c r="B53" s="2"/>
      <c r="C53" s="12">
        <v>524.0258</v>
      </c>
      <c r="D53" s="2"/>
      <c r="E53" s="2"/>
      <c r="F53" s="2"/>
      <c r="G53" s="2"/>
      <c r="H53" s="2"/>
      <c r="I53" s="2"/>
      <c r="J53" s="2"/>
    </row>
    <row r="54" spans="1:10" x14ac:dyDescent="0.35">
      <c r="A54" s="4" t="s">
        <v>120</v>
      </c>
      <c r="B54" s="4"/>
      <c r="C54" s="5">
        <v>520.97580000000005</v>
      </c>
      <c r="D54" s="4"/>
      <c r="E54" s="4"/>
      <c r="F54" s="4"/>
      <c r="G54" s="4"/>
      <c r="H54" s="4"/>
      <c r="I54" s="4"/>
      <c r="J54" s="4"/>
    </row>
    <row r="55" spans="1:10" ht="37.5" x14ac:dyDescent="0.35">
      <c r="A55" s="2" t="s">
        <v>121</v>
      </c>
      <c r="B55" s="2"/>
      <c r="C55" s="12">
        <v>621.6232</v>
      </c>
      <c r="D55" s="2"/>
      <c r="E55" s="2"/>
      <c r="F55" s="2"/>
      <c r="G55" s="2"/>
      <c r="H55" s="2"/>
      <c r="I55" s="2"/>
      <c r="J55" s="2" t="s">
        <v>122</v>
      </c>
    </row>
    <row r="56" spans="1:10" x14ac:dyDescent="0.35">
      <c r="A56" s="4" t="s">
        <v>123</v>
      </c>
      <c r="B56" s="4"/>
      <c r="C56" s="5">
        <v>619.85619999999994</v>
      </c>
      <c r="D56" s="4"/>
      <c r="E56" s="4"/>
      <c r="F56" s="4"/>
      <c r="G56" s="4"/>
      <c r="H56" s="4"/>
      <c r="I56" s="4"/>
      <c r="J56" s="4"/>
    </row>
    <row r="57" spans="1:10" x14ac:dyDescent="0.35">
      <c r="A57" s="2" t="s">
        <v>124</v>
      </c>
      <c r="B57" s="2"/>
      <c r="C57" s="12">
        <v>628.68520000000001</v>
      </c>
      <c r="D57" s="2"/>
      <c r="E57" s="2"/>
      <c r="F57" s="2"/>
      <c r="G57" s="2"/>
      <c r="H57" s="2"/>
      <c r="I57" s="2"/>
      <c r="J57" s="2"/>
    </row>
    <row r="58" spans="1:10" x14ac:dyDescent="0.35">
      <c r="A58" s="4" t="s">
        <v>125</v>
      </c>
      <c r="B58" s="4"/>
      <c r="C58" s="5">
        <v>627.81989999999996</v>
      </c>
      <c r="D58" s="4"/>
      <c r="E58" s="4"/>
      <c r="F58" s="4"/>
      <c r="G58" s="4"/>
      <c r="H58" s="4"/>
      <c r="I58" s="4"/>
      <c r="J58" s="4"/>
    </row>
    <row r="59" spans="1:10" x14ac:dyDescent="0.35">
      <c r="A59" s="2" t="s">
        <v>126</v>
      </c>
      <c r="B59" s="2"/>
      <c r="C59" s="12">
        <v>640.27930000000003</v>
      </c>
      <c r="D59" s="2"/>
      <c r="E59" s="2"/>
      <c r="F59" s="2"/>
      <c r="G59" s="2"/>
      <c r="H59" s="2"/>
      <c r="I59" s="2"/>
      <c r="J59" s="2"/>
    </row>
    <row r="60" spans="1:10" x14ac:dyDescent="0.35">
      <c r="A60" s="4" t="s">
        <v>127</v>
      </c>
      <c r="B60" s="4"/>
      <c r="C60" s="5">
        <v>522.6558</v>
      </c>
      <c r="D60" s="4"/>
      <c r="E60" s="4"/>
      <c r="F60" s="4"/>
      <c r="G60" s="4"/>
      <c r="H60" s="4"/>
      <c r="I60" s="4"/>
      <c r="J60" s="4"/>
    </row>
    <row r="61" spans="1:10" x14ac:dyDescent="0.35">
      <c r="A61" s="2" t="s">
        <v>128</v>
      </c>
      <c r="B61" s="2"/>
      <c r="C61" s="12">
        <v>525.76089999999999</v>
      </c>
      <c r="D61" s="2"/>
      <c r="E61" s="2"/>
      <c r="F61" s="2"/>
      <c r="G61" s="2"/>
      <c r="H61" s="2"/>
      <c r="I61" s="2"/>
      <c r="J61" s="2"/>
    </row>
    <row r="62" spans="1:10" x14ac:dyDescent="0.35">
      <c r="A62" s="4" t="s">
        <v>129</v>
      </c>
      <c r="B62" s="4"/>
      <c r="C62" s="5">
        <v>637.30960000000005</v>
      </c>
      <c r="D62" s="4"/>
      <c r="E62" s="4"/>
      <c r="F62" s="4"/>
      <c r="G62" s="4"/>
      <c r="H62" s="4"/>
      <c r="I62" s="4"/>
      <c r="J62" s="4"/>
    </row>
    <row r="63" spans="1:10" x14ac:dyDescent="0.35">
      <c r="A63" s="2" t="s">
        <v>130</v>
      </c>
      <c r="B63" s="2"/>
      <c r="C63" s="12">
        <v>622.77660000000003</v>
      </c>
      <c r="D63" s="2"/>
      <c r="E63" s="2"/>
      <c r="F63" s="2"/>
      <c r="G63" s="2"/>
      <c r="H63" s="2"/>
      <c r="I63" s="2"/>
      <c r="J63" s="2"/>
    </row>
    <row r="64" spans="1:10" x14ac:dyDescent="0.35">
      <c r="A64" s="4" t="s">
        <v>131</v>
      </c>
      <c r="B64" s="4"/>
      <c r="C64" s="5">
        <v>634.77980000000002</v>
      </c>
      <c r="D64" s="4"/>
      <c r="E64" s="4"/>
      <c r="F64" s="4"/>
      <c r="G64" s="4"/>
      <c r="H64" s="4"/>
      <c r="I64" s="4"/>
      <c r="J64" s="4"/>
    </row>
    <row r="65" spans="1:10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x14ac:dyDescent="0.35">
      <c r="A67" s="2" t="s">
        <v>132</v>
      </c>
      <c r="B67" s="2" t="s">
        <v>31</v>
      </c>
      <c r="C67" s="2" t="s">
        <v>32</v>
      </c>
      <c r="D67" s="2"/>
      <c r="E67" s="2"/>
      <c r="F67" s="2"/>
      <c r="G67" s="2"/>
      <c r="H67" s="2"/>
      <c r="I67" s="2"/>
      <c r="J67" s="2"/>
    </row>
    <row r="68" spans="1:10" x14ac:dyDescent="0.35">
      <c r="A68" s="4" t="s">
        <v>133</v>
      </c>
      <c r="B68" s="5">
        <v>9893.9446000000007</v>
      </c>
      <c r="C68" s="5">
        <v>9986.268</v>
      </c>
      <c r="D68" s="4"/>
      <c r="E68" s="4"/>
      <c r="F68" s="4"/>
      <c r="G68" s="4"/>
      <c r="H68" s="4"/>
      <c r="I68" s="4"/>
      <c r="J68" s="4"/>
    </row>
    <row r="69" spans="1:10" x14ac:dyDescent="0.35">
      <c r="A69" s="2" t="s">
        <v>134</v>
      </c>
      <c r="B69" s="12">
        <v>4757.6990999999998</v>
      </c>
      <c r="C69" s="12">
        <v>5295.8909000000003</v>
      </c>
      <c r="D69" s="2"/>
      <c r="E69" s="2"/>
      <c r="F69" s="2"/>
      <c r="G69" s="2"/>
      <c r="H69" s="2"/>
      <c r="I69" s="2"/>
      <c r="J69" s="2"/>
    </row>
    <row r="70" spans="1:10" x14ac:dyDescent="0.35">
      <c r="A70" s="4" t="s">
        <v>135</v>
      </c>
      <c r="B70" s="5">
        <v>1182.0175999999999</v>
      </c>
      <c r="C70" s="5">
        <v>1717.7836</v>
      </c>
      <c r="D70" s="4"/>
      <c r="E70" s="4"/>
      <c r="F70" s="4"/>
      <c r="G70" s="4"/>
      <c r="H70" s="4"/>
      <c r="I70" s="4"/>
      <c r="J70" s="4"/>
    </row>
    <row r="71" spans="1:10" x14ac:dyDescent="0.35">
      <c r="A71" s="2" t="s">
        <v>136</v>
      </c>
      <c r="B71" s="12">
        <v>362.7</v>
      </c>
      <c r="C71" s="12">
        <v>351</v>
      </c>
      <c r="D71" s="2"/>
      <c r="E71" s="2"/>
      <c r="F71" s="2"/>
      <c r="G71" s="2"/>
      <c r="H71" s="2"/>
      <c r="I71" s="2"/>
      <c r="J71" s="2"/>
    </row>
    <row r="72" spans="1:10" ht="37.5" x14ac:dyDescent="0.35">
      <c r="A72" s="4"/>
      <c r="B72" s="4"/>
      <c r="C72" s="4"/>
      <c r="D72" s="4"/>
      <c r="E72" s="4"/>
      <c r="F72" s="4"/>
      <c r="G72" s="4"/>
      <c r="H72" s="4"/>
      <c r="I72" s="4"/>
      <c r="J72" s="4" t="s">
        <v>137</v>
      </c>
    </row>
    <row r="73" spans="1:10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35">
      <c r="A74" s="4" t="s">
        <v>138</v>
      </c>
      <c r="B74" s="4" t="s">
        <v>139</v>
      </c>
      <c r="C74" s="4"/>
      <c r="D74" s="4"/>
      <c r="E74" s="4"/>
      <c r="F74" s="4"/>
      <c r="G74" s="4"/>
      <c r="H74" s="4"/>
      <c r="I74" s="4"/>
      <c r="J74" s="4"/>
    </row>
    <row r="75" spans="1:10" x14ac:dyDescent="0.35">
      <c r="A75" s="2" t="s">
        <v>140</v>
      </c>
      <c r="B75" s="12">
        <v>531.20000000000005</v>
      </c>
      <c r="C75" s="2"/>
      <c r="D75" s="2"/>
      <c r="E75" s="2"/>
      <c r="F75" s="2"/>
      <c r="G75" s="2"/>
      <c r="H75" s="2"/>
      <c r="I75" s="2"/>
      <c r="J75" s="2"/>
    </row>
    <row r="76" spans="1:10" x14ac:dyDescent="0.35">
      <c r="A76" s="4" t="s">
        <v>141</v>
      </c>
      <c r="B76" s="5">
        <v>360.60980000000001</v>
      </c>
      <c r="C76" s="4"/>
      <c r="D76" s="4"/>
      <c r="E76" s="4"/>
      <c r="F76" s="4"/>
      <c r="G76" s="4"/>
      <c r="H76" s="4"/>
      <c r="I76" s="4"/>
      <c r="J76" s="4"/>
    </row>
    <row r="77" spans="1:10" x14ac:dyDescent="0.35">
      <c r="A77" s="2" t="s">
        <v>142</v>
      </c>
      <c r="B77" s="12">
        <v>348.63400000000001</v>
      </c>
      <c r="C77" s="2"/>
      <c r="D77" s="2"/>
      <c r="E77" s="2"/>
      <c r="F77" s="2"/>
      <c r="G77" s="2"/>
      <c r="H77" s="2"/>
      <c r="I77" s="2"/>
      <c r="J77" s="2"/>
    </row>
    <row r="78" spans="1:10" x14ac:dyDescent="0.35">
      <c r="A78" s="4" t="s">
        <v>143</v>
      </c>
      <c r="B78" s="5">
        <v>71.957000000000107</v>
      </c>
      <c r="C78" s="4"/>
      <c r="D78" s="4"/>
      <c r="E78" s="4"/>
      <c r="F78" s="4"/>
      <c r="G78" s="4"/>
      <c r="H78" s="4"/>
      <c r="I78" s="4"/>
      <c r="J78" s="4"/>
    </row>
    <row r="79" spans="1:10" x14ac:dyDescent="0.35">
      <c r="A79" s="2" t="s">
        <v>144</v>
      </c>
      <c r="B79" s="12">
        <v>-51.300000000000182</v>
      </c>
      <c r="C79" s="2"/>
      <c r="D79" s="2"/>
      <c r="E79" s="2"/>
      <c r="F79" s="2"/>
      <c r="G79" s="2"/>
      <c r="H79" s="2"/>
      <c r="I79" s="2"/>
      <c r="J79" s="2"/>
    </row>
    <row r="80" spans="1:10" x14ac:dyDescent="0.35">
      <c r="A80" s="4" t="s">
        <v>145</v>
      </c>
      <c r="B80" s="5">
        <v>-41.319600000000257</v>
      </c>
      <c r="C80" s="4"/>
      <c r="D80" s="4"/>
      <c r="E80" s="4"/>
      <c r="F80" s="4"/>
      <c r="G80" s="4"/>
      <c r="H80" s="4"/>
      <c r="I80" s="4"/>
      <c r="J80" s="4"/>
    </row>
    <row r="81" spans="1:10" x14ac:dyDescent="0.35">
      <c r="A81" s="2" t="s">
        <v>146</v>
      </c>
      <c r="B81" s="12">
        <v>-25.199999999999822</v>
      </c>
      <c r="C81" s="2"/>
      <c r="D81" s="2"/>
      <c r="E81" s="2"/>
      <c r="F81" s="2"/>
      <c r="G81" s="2"/>
      <c r="H81" s="2"/>
      <c r="I81" s="2"/>
      <c r="J81" s="2"/>
    </row>
    <row r="82" spans="1:10" x14ac:dyDescent="0.35">
      <c r="A82" s="4" t="s">
        <v>147</v>
      </c>
      <c r="B82" s="5">
        <v>-13.19999999999999</v>
      </c>
      <c r="C82" s="4"/>
      <c r="D82" s="4"/>
      <c r="E82" s="4"/>
      <c r="F82" s="4"/>
      <c r="G82" s="4"/>
      <c r="H82" s="4"/>
      <c r="I82" s="4"/>
      <c r="J82" s="4"/>
    </row>
    <row r="83" spans="1:10" x14ac:dyDescent="0.35">
      <c r="A83" s="2" t="s">
        <v>148</v>
      </c>
      <c r="B83" s="12">
        <v>-11.80000000000001</v>
      </c>
      <c r="C83" s="2"/>
      <c r="D83" s="2"/>
      <c r="E83" s="2"/>
      <c r="F83" s="2"/>
      <c r="G83" s="2"/>
      <c r="H83" s="2"/>
      <c r="I83" s="2"/>
      <c r="J83" s="2"/>
    </row>
    <row r="84" spans="1:10" x14ac:dyDescent="0.35">
      <c r="A84" s="4" t="s">
        <v>149</v>
      </c>
      <c r="B84" s="5">
        <v>-11.69999999999999</v>
      </c>
      <c r="C84" s="4"/>
      <c r="D84" s="4"/>
      <c r="E84" s="4"/>
      <c r="F84" s="4"/>
      <c r="G84" s="4"/>
      <c r="H84" s="4"/>
      <c r="I84" s="4"/>
      <c r="J84" s="4"/>
    </row>
    <row r="85" spans="1:10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x14ac:dyDescent="0.35">
      <c r="A87" s="2" t="s">
        <v>150</v>
      </c>
      <c r="B87" s="2" t="s">
        <v>139</v>
      </c>
      <c r="C87" s="2"/>
      <c r="D87" s="2"/>
      <c r="E87" s="2"/>
      <c r="F87" s="2"/>
      <c r="G87" s="2"/>
      <c r="H87" s="2"/>
      <c r="I87" s="2"/>
      <c r="J87" s="2"/>
    </row>
    <row r="88" spans="1:10" x14ac:dyDescent="0.35">
      <c r="A88" s="4" t="s">
        <v>151</v>
      </c>
      <c r="B88" s="5">
        <v>616.38940000000002</v>
      </c>
      <c r="C88" s="4"/>
      <c r="D88" s="4"/>
      <c r="E88" s="4"/>
      <c r="F88" s="4"/>
      <c r="G88" s="4"/>
      <c r="H88" s="4"/>
      <c r="I88" s="4"/>
      <c r="J88" s="4"/>
    </row>
    <row r="89" spans="1:10" x14ac:dyDescent="0.35">
      <c r="A89" s="2" t="s">
        <v>152</v>
      </c>
      <c r="B89" s="12">
        <v>538.19180000000051</v>
      </c>
      <c r="C89" s="2"/>
      <c r="D89" s="2"/>
      <c r="E89" s="2"/>
      <c r="F89" s="2"/>
      <c r="G89" s="2"/>
      <c r="H89" s="2"/>
      <c r="I89" s="2"/>
      <c r="J89" s="2"/>
    </row>
  </sheetData>
  <autoFilter ref="A3:J89" xr:uid="{00000000-0009-0000-0000-000001000000}"/>
  <mergeCells count="2">
    <mergeCell ref="A2:H2"/>
    <mergeCell ref="A1:H1"/>
  </mergeCells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13" width="24" customWidth="1"/>
  </cols>
  <sheetData>
    <row r="1" spans="1:13" ht="28" customHeight="1" x14ac:dyDescent="0.35">
      <c r="A1" s="17" t="s">
        <v>153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52" customHeight="1" x14ac:dyDescent="0.3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48" customHeight="1" x14ac:dyDescent="0.35">
      <c r="A3" s="3" t="s">
        <v>132</v>
      </c>
      <c r="B3" s="3" t="s">
        <v>154</v>
      </c>
      <c r="C3" s="3" t="s">
        <v>31</v>
      </c>
      <c r="D3" s="3" t="s">
        <v>32</v>
      </c>
      <c r="E3" s="3" t="s">
        <v>139</v>
      </c>
      <c r="F3" s="3" t="s">
        <v>155</v>
      </c>
      <c r="G3" s="3" t="s">
        <v>17</v>
      </c>
      <c r="H3" s="3" t="s">
        <v>15</v>
      </c>
      <c r="I3" s="3" t="s">
        <v>19</v>
      </c>
      <c r="J3" s="3" t="s">
        <v>21</v>
      </c>
      <c r="K3" s="3" t="s">
        <v>156</v>
      </c>
      <c r="L3" s="3" t="s">
        <v>157</v>
      </c>
      <c r="M3" s="3" t="s">
        <v>158</v>
      </c>
    </row>
    <row r="4" spans="1:13" ht="25" x14ac:dyDescent="0.35">
      <c r="A4" s="4" t="s">
        <v>133</v>
      </c>
      <c r="B4" s="4" t="s">
        <v>159</v>
      </c>
      <c r="C4" s="5">
        <v>9429.7855999999992</v>
      </c>
      <c r="D4" s="5">
        <v>9664.9979999999996</v>
      </c>
      <c r="E4" s="10">
        <f>D4-C4</f>
        <v>235.21240000000034</v>
      </c>
      <c r="F4" s="9">
        <f>D4/C4-1</f>
        <v>2.4943557571446728E-2</v>
      </c>
      <c r="G4" s="10">
        <f>C4/31</f>
        <v>304.18663225806449</v>
      </c>
      <c r="H4" s="10">
        <f>D4/30</f>
        <v>322.16659999999996</v>
      </c>
      <c r="I4" s="9">
        <f>H4/G4-1</f>
        <v>5.9108342823828375E-2</v>
      </c>
      <c r="J4" s="5">
        <v>9664.9979999999996</v>
      </c>
      <c r="K4" s="4" t="s">
        <v>160</v>
      </c>
      <c r="L4" s="4" t="s">
        <v>160</v>
      </c>
      <c r="M4" s="4" t="s">
        <v>161</v>
      </c>
    </row>
    <row r="5" spans="1:13" ht="25" x14ac:dyDescent="0.35">
      <c r="A5" s="2" t="s">
        <v>134</v>
      </c>
      <c r="B5" s="2" t="s">
        <v>162</v>
      </c>
      <c r="C5" s="12">
        <v>4757.6990999999998</v>
      </c>
      <c r="D5" s="12">
        <v>5295.8909000000003</v>
      </c>
      <c r="E5" s="8">
        <f>D5-C5</f>
        <v>538.19180000000051</v>
      </c>
      <c r="F5" s="11">
        <f>D5/C5-1</f>
        <v>0.11312018450263084</v>
      </c>
      <c r="G5" s="8">
        <f>C5/31</f>
        <v>153.47416451612904</v>
      </c>
      <c r="H5" s="8">
        <f>D5/30</f>
        <v>176.52969666666667</v>
      </c>
      <c r="I5" s="11">
        <f>H5/G5-1</f>
        <v>0.15022419065271841</v>
      </c>
      <c r="J5" s="12">
        <v>5295.8909000000003</v>
      </c>
      <c r="K5" s="2" t="s">
        <v>160</v>
      </c>
      <c r="L5" s="2" t="s">
        <v>160</v>
      </c>
      <c r="M5" s="2" t="s">
        <v>163</v>
      </c>
    </row>
    <row r="6" spans="1:13" ht="25" x14ac:dyDescent="0.35">
      <c r="A6" s="4" t="s">
        <v>135</v>
      </c>
      <c r="B6" s="4" t="s">
        <v>164</v>
      </c>
      <c r="C6" s="5">
        <v>1182.0175999999999</v>
      </c>
      <c r="D6" s="5">
        <v>1717.7836</v>
      </c>
      <c r="E6" s="10">
        <f>D6-C6</f>
        <v>535.76600000000008</v>
      </c>
      <c r="F6" s="9">
        <f>D6/C6-1</f>
        <v>0.45326397847206357</v>
      </c>
      <c r="G6" s="10">
        <f>C6/31</f>
        <v>38.129599999999996</v>
      </c>
      <c r="H6" s="10">
        <f>D6/30</f>
        <v>57.259453333333333</v>
      </c>
      <c r="I6" s="9">
        <f>H6/G6-1</f>
        <v>0.50170611108779894</v>
      </c>
      <c r="J6" s="5">
        <v>1717.7836</v>
      </c>
      <c r="K6" s="4" t="s">
        <v>160</v>
      </c>
      <c r="L6" s="4" t="s">
        <v>160</v>
      </c>
      <c r="M6" s="4" t="s">
        <v>165</v>
      </c>
    </row>
    <row r="7" spans="1:13" ht="25" x14ac:dyDescent="0.35">
      <c r="A7" s="2" t="s">
        <v>136</v>
      </c>
      <c r="B7" s="2" t="s">
        <v>166</v>
      </c>
      <c r="C7" s="12">
        <v>362.7</v>
      </c>
      <c r="D7" s="12">
        <v>351</v>
      </c>
      <c r="E7" s="8">
        <f>D7-C7</f>
        <v>-11.699999999999989</v>
      </c>
      <c r="F7" s="11">
        <f>D7/C7-1</f>
        <v>-3.2258064516129004E-2</v>
      </c>
      <c r="G7" s="8">
        <f>C7/31</f>
        <v>11.7</v>
      </c>
      <c r="H7" s="8">
        <f>D7/30</f>
        <v>11.7</v>
      </c>
      <c r="I7" s="11">
        <f>H7/G7-1</f>
        <v>0</v>
      </c>
      <c r="J7" s="12">
        <v>351</v>
      </c>
      <c r="K7" s="2" t="s">
        <v>160</v>
      </c>
      <c r="L7" s="2" t="s">
        <v>160</v>
      </c>
      <c r="M7" s="2" t="s">
        <v>167</v>
      </c>
    </row>
    <row r="8" spans="1:13" ht="25" x14ac:dyDescent="0.35">
      <c r="A8" s="4" t="s">
        <v>133</v>
      </c>
      <c r="B8" s="4" t="s">
        <v>168</v>
      </c>
      <c r="C8" s="5">
        <v>464.15899999999999</v>
      </c>
      <c r="D8" s="5">
        <v>321.27</v>
      </c>
      <c r="E8" s="10">
        <f>D8-C8</f>
        <v>-142.88900000000001</v>
      </c>
      <c r="F8" s="9">
        <f>D8/C8-1</f>
        <v>-0.3078449410654539</v>
      </c>
      <c r="G8" s="10">
        <f>C8/31</f>
        <v>14.972870967741935</v>
      </c>
      <c r="H8" s="10">
        <f>D8/30</f>
        <v>10.709</v>
      </c>
      <c r="I8" s="9">
        <f>H8/G8-1</f>
        <v>-0.2847731057676357</v>
      </c>
      <c r="J8" s="5">
        <v>321.27</v>
      </c>
      <c r="K8" s="4" t="s">
        <v>160</v>
      </c>
      <c r="L8" s="4" t="s">
        <v>160</v>
      </c>
      <c r="M8" s="4" t="s">
        <v>169</v>
      </c>
    </row>
    <row r="9" spans="1:13" ht="25" x14ac:dyDescent="0.35">
      <c r="A9" s="2" t="s">
        <v>170</v>
      </c>
      <c r="B9" s="2" t="s">
        <v>171</v>
      </c>
      <c r="C9" s="2"/>
      <c r="D9" s="2"/>
      <c r="E9" s="2"/>
      <c r="F9" s="13"/>
      <c r="G9" s="2"/>
      <c r="H9" s="2"/>
      <c r="I9" s="13"/>
      <c r="J9" s="2"/>
      <c r="K9" s="2" t="s">
        <v>172</v>
      </c>
      <c r="L9" s="2" t="s">
        <v>172</v>
      </c>
      <c r="M9" s="2" t="s">
        <v>173</v>
      </c>
    </row>
  </sheetData>
  <autoFilter ref="A3:M9" xr:uid="{00000000-0009-0000-0000-000002000000}"/>
  <mergeCells count="2">
    <mergeCell ref="A2:M2"/>
    <mergeCell ref="A1:M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8" width="24" customWidth="1"/>
  </cols>
  <sheetData>
    <row r="1" spans="1:8" ht="28" customHeight="1" x14ac:dyDescent="0.35">
      <c r="A1" s="17" t="s">
        <v>174</v>
      </c>
      <c r="B1" s="17"/>
      <c r="C1" s="17"/>
      <c r="D1" s="17"/>
      <c r="E1" s="17"/>
      <c r="F1" s="17"/>
      <c r="G1" s="17"/>
      <c r="H1" s="17"/>
    </row>
    <row r="2" spans="1:8" ht="52" customHeight="1" x14ac:dyDescent="0.35">
      <c r="A2" s="18" t="s">
        <v>1</v>
      </c>
      <c r="B2" s="18"/>
      <c r="C2" s="18"/>
      <c r="D2" s="18"/>
      <c r="E2" s="18"/>
      <c r="F2" s="18"/>
      <c r="G2" s="18"/>
      <c r="H2" s="18"/>
    </row>
    <row r="3" spans="1:8" ht="48" customHeight="1" x14ac:dyDescent="0.35">
      <c r="A3" s="3" t="s">
        <v>2</v>
      </c>
      <c r="B3" s="3" t="s">
        <v>31</v>
      </c>
      <c r="C3" s="3" t="s">
        <v>32</v>
      </c>
      <c r="D3" s="3" t="s">
        <v>139</v>
      </c>
      <c r="E3" s="3" t="s">
        <v>155</v>
      </c>
      <c r="F3" s="3" t="s">
        <v>17</v>
      </c>
      <c r="G3" s="3" t="s">
        <v>15</v>
      </c>
      <c r="H3" s="3" t="s">
        <v>19</v>
      </c>
    </row>
    <row r="4" spans="1:8" x14ac:dyDescent="0.35">
      <c r="A4" s="4" t="s">
        <v>133</v>
      </c>
      <c r="B4" s="5">
        <v>9893.9446000000007</v>
      </c>
      <c r="C4" s="5">
        <v>9986.268</v>
      </c>
      <c r="D4" s="10">
        <f>C4-B4</f>
        <v>92.32339999999931</v>
      </c>
      <c r="E4" s="9">
        <f>C4/B4-1</f>
        <v>9.3313035126554311E-3</v>
      </c>
      <c r="F4" s="10">
        <f>B4/31</f>
        <v>319.15950322580647</v>
      </c>
      <c r="G4" s="10">
        <f>C4/30</f>
        <v>332.87560000000002</v>
      </c>
      <c r="H4" s="9">
        <f>G4/F4-1</f>
        <v>4.2975680296410745E-2</v>
      </c>
    </row>
    <row r="5" spans="1:8" x14ac:dyDescent="0.35">
      <c r="A5" s="2" t="s">
        <v>134</v>
      </c>
      <c r="B5" s="12">
        <v>4757.6990999999998</v>
      </c>
      <c r="C5" s="12">
        <v>5295.8909000000003</v>
      </c>
      <c r="D5" s="8">
        <f>C5-B5</f>
        <v>538.19180000000051</v>
      </c>
      <c r="E5" s="11">
        <f>C5/B5-1</f>
        <v>0.11312018450263084</v>
      </c>
      <c r="F5" s="8">
        <f>B5/31</f>
        <v>153.47416451612904</v>
      </c>
      <c r="G5" s="8">
        <f>C5/30</f>
        <v>176.52969666666667</v>
      </c>
      <c r="H5" s="11">
        <f>G5/F5-1</f>
        <v>0.15022419065271841</v>
      </c>
    </row>
    <row r="6" spans="1:8" x14ac:dyDescent="0.35">
      <c r="A6" s="4" t="s">
        <v>135</v>
      </c>
      <c r="B6" s="5">
        <v>1182.0175999999999</v>
      </c>
      <c r="C6" s="5">
        <v>1717.7836</v>
      </c>
      <c r="D6" s="10">
        <f>C6-B6</f>
        <v>535.76600000000008</v>
      </c>
      <c r="E6" s="9">
        <f>C6/B6-1</f>
        <v>0.45326397847206357</v>
      </c>
      <c r="F6" s="10">
        <f>B6/31</f>
        <v>38.129599999999996</v>
      </c>
      <c r="G6" s="10">
        <f>C6/30</f>
        <v>57.259453333333333</v>
      </c>
      <c r="H6" s="9">
        <f>G6/F6-1</f>
        <v>0.50170611108779894</v>
      </c>
    </row>
    <row r="7" spans="1:8" x14ac:dyDescent="0.35">
      <c r="A7" s="2" t="s">
        <v>136</v>
      </c>
      <c r="B7" s="12">
        <v>362.7</v>
      </c>
      <c r="C7" s="12">
        <v>351</v>
      </c>
      <c r="D7" s="8">
        <f>C7-B7</f>
        <v>-11.699999999999989</v>
      </c>
      <c r="E7" s="11">
        <f>C7/B7-1</f>
        <v>-3.2258064516129004E-2</v>
      </c>
      <c r="F7" s="8">
        <f>B7/31</f>
        <v>11.7</v>
      </c>
      <c r="G7" s="8">
        <f>C7/30</f>
        <v>11.7</v>
      </c>
      <c r="H7" s="11">
        <f>G7/F7-1</f>
        <v>0</v>
      </c>
    </row>
  </sheetData>
  <autoFilter ref="A3:H7" xr:uid="{00000000-0009-0000-0000-000003000000}"/>
  <mergeCells count="2">
    <mergeCell ref="A2:H2"/>
    <mergeCell ref="A1:H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8" width="24" customWidth="1"/>
  </cols>
  <sheetData>
    <row r="1" spans="1:8" ht="28" customHeight="1" x14ac:dyDescent="0.35">
      <c r="A1" s="17" t="s">
        <v>175</v>
      </c>
      <c r="B1" s="17"/>
      <c r="C1" s="17"/>
      <c r="D1" s="17"/>
      <c r="E1" s="17"/>
      <c r="F1" s="17"/>
      <c r="G1" s="17"/>
      <c r="H1" s="17"/>
    </row>
    <row r="2" spans="1:8" ht="52" customHeight="1" x14ac:dyDescent="0.35">
      <c r="A2" s="18" t="s">
        <v>1</v>
      </c>
      <c r="B2" s="18"/>
      <c r="C2" s="18"/>
      <c r="D2" s="18"/>
      <c r="E2" s="18"/>
      <c r="F2" s="18"/>
      <c r="G2" s="18"/>
      <c r="H2" s="18"/>
    </row>
    <row r="3" spans="1:8" ht="48" customHeight="1" x14ac:dyDescent="0.35">
      <c r="A3" s="3" t="s">
        <v>2</v>
      </c>
      <c r="B3" s="3" t="s">
        <v>31</v>
      </c>
      <c r="C3" s="3" t="s">
        <v>32</v>
      </c>
      <c r="D3" s="3" t="s">
        <v>139</v>
      </c>
      <c r="E3" s="3" t="s">
        <v>155</v>
      </c>
      <c r="F3" s="3" t="s">
        <v>17</v>
      </c>
      <c r="G3" s="3" t="s">
        <v>15</v>
      </c>
      <c r="H3" s="3" t="s">
        <v>19</v>
      </c>
    </row>
    <row r="4" spans="1:8" x14ac:dyDescent="0.35">
      <c r="A4" s="4" t="s">
        <v>142</v>
      </c>
      <c r="B4" s="5">
        <v>5023.2</v>
      </c>
      <c r="C4" s="5">
        <v>5371.8339999999998</v>
      </c>
      <c r="D4" s="10">
        <f t="shared" ref="D4:D15" si="0">C4-B4</f>
        <v>348.63400000000001</v>
      </c>
      <c r="E4" s="9">
        <f t="shared" ref="E4:E15" si="1">C4/B4-1</f>
        <v>6.9404761904761969E-2</v>
      </c>
      <c r="F4" s="10">
        <f t="shared" ref="F4:F15" si="2">B4/31</f>
        <v>162.03870967741935</v>
      </c>
      <c r="G4" s="10">
        <f t="shared" ref="G4:G15" si="3">C4/30</f>
        <v>179.06113333333332</v>
      </c>
      <c r="H4" s="9">
        <f t="shared" ref="H4:H15" si="4">G4/F4-1</f>
        <v>0.10505158730158715</v>
      </c>
    </row>
    <row r="5" spans="1:8" x14ac:dyDescent="0.35">
      <c r="A5" s="2" t="s">
        <v>145</v>
      </c>
      <c r="B5" s="12">
        <v>2864.0192000000002</v>
      </c>
      <c r="C5" s="12">
        <v>2822.6995999999999</v>
      </c>
      <c r="D5" s="8">
        <f t="shared" si="0"/>
        <v>-41.319600000000264</v>
      </c>
      <c r="E5" s="11">
        <f t="shared" si="1"/>
        <v>-1.4427137918628596E-2</v>
      </c>
      <c r="F5" s="8">
        <f t="shared" si="2"/>
        <v>92.38771612903227</v>
      </c>
      <c r="G5" s="8">
        <f t="shared" si="3"/>
        <v>94.089986666666661</v>
      </c>
      <c r="H5" s="11">
        <f t="shared" si="4"/>
        <v>1.8425290817416951E-2</v>
      </c>
    </row>
    <row r="6" spans="1:8" x14ac:dyDescent="0.35">
      <c r="A6" s="4" t="s">
        <v>146</v>
      </c>
      <c r="B6" s="5">
        <v>2638.2240000000002</v>
      </c>
      <c r="C6" s="5">
        <v>2613.0239999999999</v>
      </c>
      <c r="D6" s="10">
        <f t="shared" si="0"/>
        <v>-25.200000000000273</v>
      </c>
      <c r="E6" s="9">
        <f t="shared" si="1"/>
        <v>-9.5518803558758414E-3</v>
      </c>
      <c r="F6" s="10">
        <f t="shared" si="2"/>
        <v>85.103999999999999</v>
      </c>
      <c r="G6" s="10">
        <f t="shared" si="3"/>
        <v>87.100799999999992</v>
      </c>
      <c r="H6" s="9">
        <f t="shared" si="4"/>
        <v>2.3463056965594919E-2</v>
      </c>
    </row>
    <row r="7" spans="1:8" x14ac:dyDescent="0.35">
      <c r="A7" s="2" t="s">
        <v>140</v>
      </c>
      <c r="B7" s="12">
        <v>1286.5</v>
      </c>
      <c r="C7" s="12">
        <v>1817.7</v>
      </c>
      <c r="D7" s="8">
        <f t="shared" si="0"/>
        <v>531.20000000000005</v>
      </c>
      <c r="E7" s="11">
        <f t="shared" si="1"/>
        <v>0.41290322580645156</v>
      </c>
      <c r="F7" s="8">
        <f t="shared" si="2"/>
        <v>41.5</v>
      </c>
      <c r="G7" s="8">
        <f t="shared" si="3"/>
        <v>60.59</v>
      </c>
      <c r="H7" s="11">
        <f t="shared" si="4"/>
        <v>0.46000000000000019</v>
      </c>
    </row>
    <row r="8" spans="1:8" x14ac:dyDescent="0.35">
      <c r="A8" s="4" t="s">
        <v>144</v>
      </c>
      <c r="B8" s="5">
        <v>1590.3</v>
      </c>
      <c r="C8" s="5">
        <v>1539</v>
      </c>
      <c r="D8" s="10">
        <f t="shared" si="0"/>
        <v>-51.299999999999955</v>
      </c>
      <c r="E8" s="9">
        <f t="shared" si="1"/>
        <v>-3.2258064516129004E-2</v>
      </c>
      <c r="F8" s="10">
        <f t="shared" si="2"/>
        <v>51.3</v>
      </c>
      <c r="G8" s="10">
        <f t="shared" si="3"/>
        <v>51.3</v>
      </c>
      <c r="H8" s="9">
        <f t="shared" si="4"/>
        <v>0</v>
      </c>
    </row>
    <row r="9" spans="1:8" x14ac:dyDescent="0.35">
      <c r="A9" s="2" t="s">
        <v>141</v>
      </c>
      <c r="B9" s="12">
        <v>826.92409999999995</v>
      </c>
      <c r="C9" s="12">
        <v>1187.5338999999999</v>
      </c>
      <c r="D9" s="8">
        <f t="shared" si="0"/>
        <v>360.60979999999995</v>
      </c>
      <c r="E9" s="11">
        <f t="shared" si="1"/>
        <v>0.43608573023811981</v>
      </c>
      <c r="F9" s="8">
        <f t="shared" si="2"/>
        <v>26.674970967741935</v>
      </c>
      <c r="G9" s="8">
        <f t="shared" si="3"/>
        <v>39.584463333333332</v>
      </c>
      <c r="H9" s="11">
        <f t="shared" si="4"/>
        <v>0.48395525457939037</v>
      </c>
    </row>
    <row r="10" spans="1:8" x14ac:dyDescent="0.35">
      <c r="A10" s="4" t="s">
        <v>143</v>
      </c>
      <c r="B10" s="5">
        <v>727.19399999999996</v>
      </c>
      <c r="C10" s="5">
        <v>799.15100000000007</v>
      </c>
      <c r="D10" s="10">
        <f t="shared" si="0"/>
        <v>71.957000000000107</v>
      </c>
      <c r="E10" s="9">
        <f t="shared" si="1"/>
        <v>9.8951586509239853E-2</v>
      </c>
      <c r="F10" s="10">
        <f t="shared" si="2"/>
        <v>23.457870967741933</v>
      </c>
      <c r="G10" s="10">
        <f t="shared" si="3"/>
        <v>26.63836666666667</v>
      </c>
      <c r="H10" s="9">
        <f t="shared" si="4"/>
        <v>0.13558330605954794</v>
      </c>
    </row>
    <row r="11" spans="1:8" x14ac:dyDescent="0.35">
      <c r="A11" s="2" t="s">
        <v>147</v>
      </c>
      <c r="B11" s="12">
        <v>409.2</v>
      </c>
      <c r="C11" s="12">
        <v>396</v>
      </c>
      <c r="D11" s="8">
        <f t="shared" si="0"/>
        <v>-13.199999999999989</v>
      </c>
      <c r="E11" s="11">
        <f t="shared" si="1"/>
        <v>-3.2258064516129004E-2</v>
      </c>
      <c r="F11" s="8">
        <f t="shared" si="2"/>
        <v>13.2</v>
      </c>
      <c r="G11" s="8">
        <f t="shared" si="3"/>
        <v>13.2</v>
      </c>
      <c r="H11" s="11">
        <f t="shared" si="4"/>
        <v>0</v>
      </c>
    </row>
    <row r="12" spans="1:8" x14ac:dyDescent="0.35">
      <c r="A12" s="4" t="s">
        <v>148</v>
      </c>
      <c r="B12" s="5">
        <v>365.8</v>
      </c>
      <c r="C12" s="5">
        <v>354</v>
      </c>
      <c r="D12" s="10">
        <f t="shared" si="0"/>
        <v>-11.800000000000011</v>
      </c>
      <c r="E12" s="9">
        <f t="shared" si="1"/>
        <v>-3.2258064516129115E-2</v>
      </c>
      <c r="F12" s="10">
        <f t="shared" si="2"/>
        <v>11.8</v>
      </c>
      <c r="G12" s="10">
        <f t="shared" si="3"/>
        <v>11.8</v>
      </c>
      <c r="H12" s="9">
        <f t="shared" si="4"/>
        <v>0</v>
      </c>
    </row>
    <row r="13" spans="1:8" x14ac:dyDescent="0.35">
      <c r="A13" s="2" t="s">
        <v>149</v>
      </c>
      <c r="B13" s="12">
        <v>362.7</v>
      </c>
      <c r="C13" s="12">
        <v>351</v>
      </c>
      <c r="D13" s="8">
        <f t="shared" si="0"/>
        <v>-11.699999999999989</v>
      </c>
      <c r="E13" s="11">
        <f t="shared" si="1"/>
        <v>-3.2258064516129004E-2</v>
      </c>
      <c r="F13" s="8">
        <f t="shared" si="2"/>
        <v>11.7</v>
      </c>
      <c r="G13" s="8">
        <f t="shared" si="3"/>
        <v>11.7</v>
      </c>
      <c r="H13" s="11">
        <f t="shared" si="4"/>
        <v>0</v>
      </c>
    </row>
    <row r="14" spans="1:8" x14ac:dyDescent="0.35">
      <c r="A14" s="4" t="s">
        <v>176</v>
      </c>
      <c r="B14" s="5">
        <v>74.399999999999991</v>
      </c>
      <c r="C14" s="5">
        <v>72</v>
      </c>
      <c r="D14" s="10">
        <f t="shared" si="0"/>
        <v>-2.3999999999999915</v>
      </c>
      <c r="E14" s="9">
        <f t="shared" si="1"/>
        <v>-3.2258064516128893E-2</v>
      </c>
      <c r="F14" s="10">
        <f t="shared" si="2"/>
        <v>2.4</v>
      </c>
      <c r="G14" s="10">
        <f t="shared" si="3"/>
        <v>2.4</v>
      </c>
      <c r="H14" s="9">
        <f t="shared" si="4"/>
        <v>0</v>
      </c>
    </row>
    <row r="15" spans="1:8" x14ac:dyDescent="0.35">
      <c r="A15" s="2" t="s">
        <v>177</v>
      </c>
      <c r="B15" s="12">
        <v>27.9</v>
      </c>
      <c r="C15" s="12">
        <v>27</v>
      </c>
      <c r="D15" s="8">
        <f t="shared" si="0"/>
        <v>-0.89999999999999858</v>
      </c>
      <c r="E15" s="11">
        <f t="shared" si="1"/>
        <v>-3.2258064516129004E-2</v>
      </c>
      <c r="F15" s="8">
        <f t="shared" si="2"/>
        <v>0.89999999999999991</v>
      </c>
      <c r="G15" s="8">
        <f t="shared" si="3"/>
        <v>0.9</v>
      </c>
      <c r="H15" s="11">
        <f t="shared" si="4"/>
        <v>0</v>
      </c>
    </row>
  </sheetData>
  <autoFilter ref="A3:H15" xr:uid="{00000000-0009-0000-0000-000004000000}"/>
  <mergeCells count="2">
    <mergeCell ref="A2:H2"/>
    <mergeCell ref="A1:H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9" width="24" customWidth="1"/>
  </cols>
  <sheetData>
    <row r="1" spans="1:9" ht="28" customHeight="1" x14ac:dyDescent="0.35">
      <c r="A1" s="17" t="s">
        <v>178</v>
      </c>
      <c r="B1" s="17"/>
      <c r="C1" s="17"/>
      <c r="D1" s="17"/>
      <c r="E1" s="17"/>
      <c r="F1" s="17"/>
      <c r="G1" s="17"/>
      <c r="H1" s="17"/>
      <c r="I1" s="17"/>
    </row>
    <row r="2" spans="1:9" ht="52" customHeight="1" x14ac:dyDescent="0.35">
      <c r="A2" s="18" t="s">
        <v>179</v>
      </c>
      <c r="B2" s="18"/>
      <c r="C2" s="18"/>
      <c r="D2" s="18"/>
      <c r="E2" s="18"/>
      <c r="F2" s="18"/>
      <c r="G2" s="18"/>
      <c r="H2" s="18"/>
      <c r="I2" s="18"/>
    </row>
    <row r="3" spans="1:9" ht="48" customHeight="1" x14ac:dyDescent="0.35">
      <c r="A3" s="3" t="s">
        <v>150</v>
      </c>
      <c r="B3" s="3" t="s">
        <v>31</v>
      </c>
      <c r="C3" s="3" t="s">
        <v>32</v>
      </c>
      <c r="D3" s="3" t="s">
        <v>139</v>
      </c>
      <c r="E3" s="3" t="s">
        <v>180</v>
      </c>
      <c r="F3" s="3" t="s">
        <v>17</v>
      </c>
      <c r="G3" s="3" t="s">
        <v>15</v>
      </c>
      <c r="H3" s="3" t="s">
        <v>19</v>
      </c>
      <c r="I3" s="3" t="s">
        <v>181</v>
      </c>
    </row>
    <row r="4" spans="1:9" ht="50" x14ac:dyDescent="0.35">
      <c r="A4" s="4" t="s">
        <v>182</v>
      </c>
      <c r="B4" s="5">
        <v>11438.662200000001</v>
      </c>
      <c r="C4" s="5">
        <v>12055.051600000001</v>
      </c>
      <c r="D4" s="10">
        <f>C4-B4</f>
        <v>616.38940000000002</v>
      </c>
      <c r="E4" s="9">
        <f>C4/C6</f>
        <v>0.69477791192034666</v>
      </c>
      <c r="F4" s="10">
        <f>B4/31</f>
        <v>368.98910322580645</v>
      </c>
      <c r="G4" s="10">
        <f>C4/30</f>
        <v>401.83505333333335</v>
      </c>
      <c r="H4" s="9">
        <f>G4/F4-1</f>
        <v>8.901604361857407E-2</v>
      </c>
      <c r="I4" s="4" t="s">
        <v>183</v>
      </c>
    </row>
    <row r="5" spans="1:9" ht="37.5" x14ac:dyDescent="0.35">
      <c r="A5" s="2" t="s">
        <v>184</v>
      </c>
      <c r="B5" s="12">
        <v>4757.6990999999998</v>
      </c>
      <c r="C5" s="12">
        <v>5295.8909000000003</v>
      </c>
      <c r="D5" s="8">
        <f>C5-B5</f>
        <v>538.19180000000051</v>
      </c>
      <c r="E5" s="11">
        <f>C5/C6</f>
        <v>0.30522208807965329</v>
      </c>
      <c r="F5" s="8">
        <f>B5/31</f>
        <v>153.47416451612904</v>
      </c>
      <c r="G5" s="8">
        <f>C5/30</f>
        <v>176.52969666666667</v>
      </c>
      <c r="H5" s="11">
        <f>G5/F5-1</f>
        <v>0.15022419065271841</v>
      </c>
      <c r="I5" s="2" t="s">
        <v>185</v>
      </c>
    </row>
    <row r="6" spans="1:9" x14ac:dyDescent="0.35">
      <c r="A6" s="4" t="s">
        <v>186</v>
      </c>
      <c r="B6" s="10">
        <f>SUM(B4:B5)</f>
        <v>16196.3613</v>
      </c>
      <c r="C6" s="10">
        <f>SUM(C4:C5)</f>
        <v>17350.942500000001</v>
      </c>
      <c r="D6" s="10">
        <f>C6-B6</f>
        <v>1154.5812000000005</v>
      </c>
      <c r="E6" s="14"/>
      <c r="F6" s="4"/>
      <c r="G6" s="4"/>
      <c r="H6" s="14"/>
      <c r="I6" s="4" t="s">
        <v>187</v>
      </c>
    </row>
  </sheetData>
  <autoFilter ref="A3:I6" xr:uid="{00000000-0009-0000-0000-000005000000}"/>
  <mergeCells count="2">
    <mergeCell ref="A1:I1"/>
    <mergeCell ref="A2:I2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11" width="24" customWidth="1"/>
    <col min="12" max="12" width="80" customWidth="1"/>
  </cols>
  <sheetData>
    <row r="1" spans="1:12" ht="28" customHeight="1" x14ac:dyDescent="0.35">
      <c r="A1" s="17" t="s">
        <v>188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52" customHeight="1" x14ac:dyDescent="0.35">
      <c r="A2" s="18" t="s">
        <v>189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48" customHeight="1" x14ac:dyDescent="0.35">
      <c r="A3" s="3" t="s">
        <v>154</v>
      </c>
      <c r="B3" s="3" t="s">
        <v>138</v>
      </c>
      <c r="C3" s="3" t="s">
        <v>31</v>
      </c>
      <c r="D3" s="3" t="s">
        <v>32</v>
      </c>
      <c r="E3" s="3" t="s">
        <v>139</v>
      </c>
      <c r="F3" s="3" t="s">
        <v>190</v>
      </c>
      <c r="G3" s="3" t="s">
        <v>191</v>
      </c>
      <c r="H3" s="3" t="s">
        <v>192</v>
      </c>
      <c r="I3" s="3" t="s">
        <v>193</v>
      </c>
      <c r="J3" s="3" t="s">
        <v>194</v>
      </c>
      <c r="K3" s="3" t="s">
        <v>195</v>
      </c>
      <c r="L3" s="3" t="s">
        <v>196</v>
      </c>
    </row>
    <row r="4" spans="1:12" ht="25" x14ac:dyDescent="0.35">
      <c r="A4" s="4" t="s">
        <v>164</v>
      </c>
      <c r="B4" s="4" t="s">
        <v>140</v>
      </c>
      <c r="C4" s="5">
        <v>0</v>
      </c>
      <c r="D4" s="5">
        <v>572.70000000000005</v>
      </c>
      <c r="E4" s="10">
        <f t="shared" ref="E4:E14" si="0">D4-C4</f>
        <v>572.70000000000005</v>
      </c>
      <c r="F4" s="5">
        <v>572.70000000000005</v>
      </c>
      <c r="G4" s="5">
        <v>0</v>
      </c>
      <c r="H4" s="5">
        <v>0</v>
      </c>
      <c r="I4" s="5">
        <v>0</v>
      </c>
      <c r="J4" s="5">
        <v>0</v>
      </c>
      <c r="K4" s="10">
        <f t="shared" ref="K4:K14" si="1">SUM(F4:J4)</f>
        <v>572.70000000000005</v>
      </c>
      <c r="L4" s="4" t="s">
        <v>197</v>
      </c>
    </row>
    <row r="5" spans="1:12" x14ac:dyDescent="0.35">
      <c r="A5" s="2" t="s">
        <v>159</v>
      </c>
      <c r="B5" s="2" t="s">
        <v>142</v>
      </c>
      <c r="C5" s="12">
        <v>3181.36</v>
      </c>
      <c r="D5" s="12">
        <v>3556.306</v>
      </c>
      <c r="E5" s="8">
        <f t="shared" si="0"/>
        <v>374.94599999999991</v>
      </c>
      <c r="F5" s="12">
        <v>0</v>
      </c>
      <c r="G5" s="12">
        <v>0</v>
      </c>
      <c r="H5" s="12">
        <v>477.5705161290324</v>
      </c>
      <c r="I5" s="12">
        <v>-102.6245161290321</v>
      </c>
      <c r="J5" s="12">
        <v>-5.2819970619566452E-13</v>
      </c>
      <c r="K5" s="8">
        <f t="shared" si="1"/>
        <v>374.9459999999998</v>
      </c>
      <c r="L5" s="2" t="s">
        <v>198</v>
      </c>
    </row>
    <row r="6" spans="1:12" x14ac:dyDescent="0.35">
      <c r="A6" s="4" t="s">
        <v>162</v>
      </c>
      <c r="B6" s="4" t="s">
        <v>141</v>
      </c>
      <c r="C6" s="5">
        <v>826.92409999999995</v>
      </c>
      <c r="D6" s="5">
        <v>1187.5338999999999</v>
      </c>
      <c r="E6" s="10">
        <f t="shared" si="0"/>
        <v>360.60979999999995</v>
      </c>
      <c r="F6" s="5">
        <v>0</v>
      </c>
      <c r="G6" s="5">
        <v>0</v>
      </c>
      <c r="H6" s="5">
        <v>387.28496548485532</v>
      </c>
      <c r="I6" s="5">
        <v>-26.674970967741899</v>
      </c>
      <c r="J6" s="5">
        <v>-1.9451711345960229E-4</v>
      </c>
      <c r="K6" s="10">
        <f t="shared" si="1"/>
        <v>360.60979999999995</v>
      </c>
      <c r="L6" s="4" t="s">
        <v>199</v>
      </c>
    </row>
    <row r="7" spans="1:12" x14ac:dyDescent="0.35">
      <c r="A7" s="2" t="s">
        <v>162</v>
      </c>
      <c r="B7" s="2" t="s">
        <v>146</v>
      </c>
      <c r="C7" s="12">
        <v>374.976</v>
      </c>
      <c r="D7" s="12">
        <v>537.98400000000004</v>
      </c>
      <c r="E7" s="8">
        <f t="shared" si="0"/>
        <v>163.00800000000004</v>
      </c>
      <c r="F7" s="12">
        <v>175.10400000000001</v>
      </c>
      <c r="G7" s="12">
        <v>0</v>
      </c>
      <c r="H7" s="12">
        <v>0</v>
      </c>
      <c r="I7" s="12">
        <v>-12.096</v>
      </c>
      <c r="J7" s="12">
        <v>0</v>
      </c>
      <c r="K7" s="8">
        <f t="shared" si="1"/>
        <v>163.00800000000001</v>
      </c>
      <c r="L7" s="2" t="s">
        <v>200</v>
      </c>
    </row>
    <row r="8" spans="1:12" ht="25" x14ac:dyDescent="0.35">
      <c r="A8" s="4" t="s">
        <v>162</v>
      </c>
      <c r="B8" s="4" t="s">
        <v>143</v>
      </c>
      <c r="C8" s="5">
        <v>427.459</v>
      </c>
      <c r="D8" s="5">
        <v>509.84500000000003</v>
      </c>
      <c r="E8" s="10">
        <f t="shared" si="0"/>
        <v>82.386000000000024</v>
      </c>
      <c r="F8" s="5">
        <v>12.483000000000001</v>
      </c>
      <c r="G8" s="5">
        <v>0</v>
      </c>
      <c r="H8" s="5">
        <v>83.692006358066578</v>
      </c>
      <c r="I8" s="5">
        <v>-13.789</v>
      </c>
      <c r="J8" s="5">
        <v>-6.358066567457854E-6</v>
      </c>
      <c r="K8" s="10">
        <f t="shared" si="1"/>
        <v>82.38600000000001</v>
      </c>
      <c r="L8" s="4" t="s">
        <v>201</v>
      </c>
    </row>
    <row r="9" spans="1:12" x14ac:dyDescent="0.35">
      <c r="A9" s="2" t="s">
        <v>159</v>
      </c>
      <c r="B9" s="2" t="s">
        <v>143</v>
      </c>
      <c r="C9" s="12">
        <v>212.73439999999999</v>
      </c>
      <c r="D9" s="12">
        <v>216.63239999999999</v>
      </c>
      <c r="E9" s="8">
        <f t="shared" si="0"/>
        <v>3.8979999999999961</v>
      </c>
      <c r="F9" s="12">
        <v>0</v>
      </c>
      <c r="G9" s="12">
        <v>0</v>
      </c>
      <c r="H9" s="12">
        <v>10.760438148399411</v>
      </c>
      <c r="I9" s="12">
        <v>-6.8624000000000107</v>
      </c>
      <c r="J9" s="12">
        <v>-3.8148399404747117E-5</v>
      </c>
      <c r="K9" s="8">
        <f t="shared" si="1"/>
        <v>3.8979999999999952</v>
      </c>
      <c r="L9" s="2" t="s">
        <v>202</v>
      </c>
    </row>
    <row r="10" spans="1:12" x14ac:dyDescent="0.35">
      <c r="A10" s="4" t="s">
        <v>168</v>
      </c>
      <c r="B10" s="4" t="s">
        <v>146</v>
      </c>
      <c r="C10" s="5">
        <v>303.55200000000002</v>
      </c>
      <c r="D10" s="5">
        <v>178.56</v>
      </c>
      <c r="E10" s="10">
        <f t="shared" si="0"/>
        <v>-124.99200000000002</v>
      </c>
      <c r="F10" s="5">
        <v>0</v>
      </c>
      <c r="G10" s="5">
        <v>-119.04</v>
      </c>
      <c r="H10" s="5">
        <v>0</v>
      </c>
      <c r="I10" s="5">
        <v>-5.952</v>
      </c>
      <c r="J10" s="5">
        <v>0</v>
      </c>
      <c r="K10" s="10">
        <f t="shared" si="1"/>
        <v>-124.992</v>
      </c>
      <c r="L10" s="4" t="s">
        <v>203</v>
      </c>
    </row>
    <row r="11" spans="1:12" x14ac:dyDescent="0.35">
      <c r="A11" s="2" t="s">
        <v>159</v>
      </c>
      <c r="B11" s="2" t="s">
        <v>146</v>
      </c>
      <c r="C11" s="12">
        <v>1590.672</v>
      </c>
      <c r="D11" s="12">
        <v>1539.36</v>
      </c>
      <c r="E11" s="8">
        <f t="shared" si="0"/>
        <v>-51.312000000000126</v>
      </c>
      <c r="F11" s="12">
        <v>0</v>
      </c>
      <c r="G11" s="12">
        <v>0</v>
      </c>
      <c r="H11" s="12">
        <v>0</v>
      </c>
      <c r="I11" s="12">
        <v>-51.311999999999998</v>
      </c>
      <c r="J11" s="12">
        <v>0</v>
      </c>
      <c r="K11" s="8">
        <f t="shared" si="1"/>
        <v>-51.311999999999998</v>
      </c>
      <c r="L11" s="2" t="s">
        <v>204</v>
      </c>
    </row>
    <row r="12" spans="1:12" ht="25" x14ac:dyDescent="0.35">
      <c r="A12" s="4" t="s">
        <v>162</v>
      </c>
      <c r="B12" s="4" t="s">
        <v>140</v>
      </c>
      <c r="C12" s="5">
        <v>1286.5</v>
      </c>
      <c r="D12" s="5">
        <v>1245</v>
      </c>
      <c r="E12" s="10">
        <f t="shared" si="0"/>
        <v>-41.5</v>
      </c>
      <c r="F12" s="5">
        <v>0</v>
      </c>
      <c r="G12" s="5">
        <v>0</v>
      </c>
      <c r="H12" s="5">
        <v>0</v>
      </c>
      <c r="I12" s="5">
        <v>-41.5</v>
      </c>
      <c r="J12" s="5">
        <v>0</v>
      </c>
      <c r="K12" s="10">
        <f t="shared" si="1"/>
        <v>-41.5</v>
      </c>
      <c r="L12" s="4" t="s">
        <v>205</v>
      </c>
    </row>
    <row r="13" spans="1:12" x14ac:dyDescent="0.35">
      <c r="A13" s="2" t="s">
        <v>159</v>
      </c>
      <c r="B13" s="2" t="s">
        <v>145</v>
      </c>
      <c r="C13" s="12">
        <v>2864.0192000000002</v>
      </c>
      <c r="D13" s="12">
        <v>2822.6995999999999</v>
      </c>
      <c r="E13" s="8">
        <f t="shared" si="0"/>
        <v>-41.319600000000264</v>
      </c>
      <c r="F13" s="12">
        <v>0</v>
      </c>
      <c r="G13" s="12">
        <v>0</v>
      </c>
      <c r="H13" s="12">
        <v>51.068221806685109</v>
      </c>
      <c r="I13" s="12">
        <v>-92.387716129032484</v>
      </c>
      <c r="J13" s="12">
        <v>-1.056776530306694E-4</v>
      </c>
      <c r="K13" s="8">
        <f t="shared" si="1"/>
        <v>-41.319600000000406</v>
      </c>
      <c r="L13" s="2" t="s">
        <v>206</v>
      </c>
    </row>
    <row r="14" spans="1:12" x14ac:dyDescent="0.35">
      <c r="A14" s="4" t="s">
        <v>162</v>
      </c>
      <c r="B14" s="4" t="s">
        <v>142</v>
      </c>
      <c r="C14" s="5">
        <v>1841.84</v>
      </c>
      <c r="D14" s="5">
        <v>1815.528</v>
      </c>
      <c r="E14" s="10">
        <f t="shared" si="0"/>
        <v>-26.311999999999898</v>
      </c>
      <c r="F14" s="5">
        <v>0</v>
      </c>
      <c r="G14" s="5">
        <v>0</v>
      </c>
      <c r="H14" s="5">
        <v>33.102193548387241</v>
      </c>
      <c r="I14" s="5">
        <v>-59.414193548387097</v>
      </c>
      <c r="J14" s="5">
        <v>0</v>
      </c>
      <c r="K14" s="10">
        <f t="shared" si="1"/>
        <v>-26.311999999999856</v>
      </c>
      <c r="L14" s="4" t="s">
        <v>207</v>
      </c>
    </row>
  </sheetData>
  <autoFilter ref="A3:L14" xr:uid="{00000000-0009-0000-0000-000006000000}"/>
  <mergeCells count="2">
    <mergeCell ref="A2:L2"/>
    <mergeCell ref="A1:L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9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11" width="24" customWidth="1"/>
  </cols>
  <sheetData>
    <row r="1" spans="1:11" ht="28" customHeight="1" x14ac:dyDescent="0.35">
      <c r="A1" s="17" t="s">
        <v>208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52" customHeight="1" x14ac:dyDescent="0.35">
      <c r="A2" s="18" t="s">
        <v>209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48" customHeight="1" x14ac:dyDescent="0.35">
      <c r="A3" s="3" t="s">
        <v>154</v>
      </c>
      <c r="B3" s="3" t="s">
        <v>138</v>
      </c>
      <c r="C3" s="3" t="s">
        <v>210</v>
      </c>
      <c r="D3" s="3" t="s">
        <v>211</v>
      </c>
      <c r="E3" s="3" t="s">
        <v>212</v>
      </c>
      <c r="F3" s="3" t="s">
        <v>31</v>
      </c>
      <c r="G3" s="3" t="s">
        <v>32</v>
      </c>
      <c r="H3" s="3" t="s">
        <v>213</v>
      </c>
      <c r="I3" s="3" t="s">
        <v>214</v>
      </c>
      <c r="J3" s="3" t="s">
        <v>215</v>
      </c>
      <c r="K3" s="3" t="s">
        <v>216</v>
      </c>
    </row>
    <row r="4" spans="1:11" ht="25" x14ac:dyDescent="0.35">
      <c r="A4" s="4" t="s">
        <v>164</v>
      </c>
      <c r="B4" s="4" t="s">
        <v>140</v>
      </c>
      <c r="C4" s="4" t="s">
        <v>217</v>
      </c>
      <c r="D4" s="4" t="s">
        <v>218</v>
      </c>
      <c r="E4" s="4" t="s">
        <v>219</v>
      </c>
      <c r="F4" s="5">
        <v>0</v>
      </c>
      <c r="G4" s="5">
        <v>572.70000000000005</v>
      </c>
      <c r="H4" s="5">
        <v>0</v>
      </c>
      <c r="I4" s="5">
        <v>552</v>
      </c>
      <c r="J4" s="4"/>
      <c r="K4" s="5">
        <v>1.0375000000000001</v>
      </c>
    </row>
    <row r="5" spans="1:11" x14ac:dyDescent="0.35">
      <c r="A5" s="2" t="s">
        <v>159</v>
      </c>
      <c r="B5" s="2" t="s">
        <v>142</v>
      </c>
      <c r="C5" s="2" t="s">
        <v>220</v>
      </c>
      <c r="D5" s="2" t="s">
        <v>221</v>
      </c>
      <c r="E5" s="2" t="s">
        <v>222</v>
      </c>
      <c r="F5" s="12">
        <v>3181.36</v>
      </c>
      <c r="G5" s="12">
        <v>3556.306</v>
      </c>
      <c r="H5" s="12">
        <v>1064</v>
      </c>
      <c r="I5" s="12">
        <v>1189.4000000000001</v>
      </c>
      <c r="J5" s="12">
        <v>2.99</v>
      </c>
      <c r="K5" s="12">
        <v>2.99</v>
      </c>
    </row>
    <row r="6" spans="1:11" x14ac:dyDescent="0.35">
      <c r="A6" s="4" t="s">
        <v>162</v>
      </c>
      <c r="B6" s="4" t="s">
        <v>141</v>
      </c>
      <c r="C6" s="4" t="s">
        <v>141</v>
      </c>
      <c r="D6" s="4" t="s">
        <v>223</v>
      </c>
      <c r="E6" s="4" t="s">
        <v>224</v>
      </c>
      <c r="F6" s="5">
        <v>826.92409999999995</v>
      </c>
      <c r="G6" s="5">
        <v>1187.5338999999999</v>
      </c>
      <c r="H6" s="5">
        <v>501166.060482</v>
      </c>
      <c r="I6" s="5">
        <v>719717.54582700005</v>
      </c>
      <c r="J6" s="5">
        <v>1.6500001999431081E-3</v>
      </c>
      <c r="K6" s="5">
        <v>1.649999929674425E-3</v>
      </c>
    </row>
    <row r="7" spans="1:11" x14ac:dyDescent="0.35">
      <c r="A7" s="2" t="s">
        <v>162</v>
      </c>
      <c r="B7" s="2" t="s">
        <v>146</v>
      </c>
      <c r="C7" s="2" t="s">
        <v>225</v>
      </c>
      <c r="D7" s="2" t="s">
        <v>226</v>
      </c>
      <c r="E7" s="2" t="s">
        <v>219</v>
      </c>
      <c r="F7" s="12">
        <v>0</v>
      </c>
      <c r="G7" s="12">
        <v>175.10400000000001</v>
      </c>
      <c r="H7" s="12">
        <v>0</v>
      </c>
      <c r="I7" s="12">
        <v>456</v>
      </c>
      <c r="J7" s="2"/>
      <c r="K7" s="12">
        <v>0.38400000000000001</v>
      </c>
    </row>
    <row r="8" spans="1:11" x14ac:dyDescent="0.35">
      <c r="A8" s="4" t="s">
        <v>162</v>
      </c>
      <c r="B8" s="4" t="s">
        <v>146</v>
      </c>
      <c r="C8" s="4" t="s">
        <v>227</v>
      </c>
      <c r="D8" s="4" t="s">
        <v>228</v>
      </c>
      <c r="E8" s="4" t="s">
        <v>219</v>
      </c>
      <c r="F8" s="5">
        <v>374.976</v>
      </c>
      <c r="G8" s="5">
        <v>362.88</v>
      </c>
      <c r="H8" s="5">
        <v>744</v>
      </c>
      <c r="I8" s="5">
        <v>720</v>
      </c>
      <c r="J8" s="5">
        <v>0.504</v>
      </c>
      <c r="K8" s="5">
        <v>0.504</v>
      </c>
    </row>
    <row r="9" spans="1:11" x14ac:dyDescent="0.35">
      <c r="A9" s="2" t="s">
        <v>162</v>
      </c>
      <c r="B9" s="2" t="s">
        <v>143</v>
      </c>
      <c r="C9" s="2" t="s">
        <v>229</v>
      </c>
      <c r="D9" s="2" t="s">
        <v>230</v>
      </c>
      <c r="E9" s="2" t="s">
        <v>231</v>
      </c>
      <c r="F9" s="12">
        <v>407.09199999999998</v>
      </c>
      <c r="G9" s="12">
        <v>477.65199999999999</v>
      </c>
      <c r="H9" s="12">
        <v>20770</v>
      </c>
      <c r="I9" s="12">
        <v>24370</v>
      </c>
      <c r="J9" s="12">
        <v>1.9599999999999999E-2</v>
      </c>
      <c r="K9" s="12">
        <v>1.9599999999999999E-2</v>
      </c>
    </row>
    <row r="10" spans="1:11" ht="25" x14ac:dyDescent="0.35">
      <c r="A10" s="4" t="s">
        <v>162</v>
      </c>
      <c r="B10" s="4" t="s">
        <v>143</v>
      </c>
      <c r="C10" s="4" t="s">
        <v>232</v>
      </c>
      <c r="D10" s="4" t="s">
        <v>233</v>
      </c>
      <c r="E10" s="4" t="s">
        <v>234</v>
      </c>
      <c r="F10" s="5">
        <v>20.367000000000001</v>
      </c>
      <c r="G10" s="5">
        <v>32.192999999999998</v>
      </c>
      <c r="H10" s="5">
        <v>1.0333330000000001</v>
      </c>
      <c r="I10" s="5">
        <v>1.6333329999999999</v>
      </c>
      <c r="J10" s="5">
        <v>19.710006358066568</v>
      </c>
      <c r="K10" s="5">
        <v>19.710004022449802</v>
      </c>
    </row>
    <row r="11" spans="1:11" x14ac:dyDescent="0.35">
      <c r="A11" s="2" t="s">
        <v>159</v>
      </c>
      <c r="B11" s="2" t="s">
        <v>143</v>
      </c>
      <c r="C11" s="2" t="s">
        <v>229</v>
      </c>
      <c r="D11" s="2" t="s">
        <v>230</v>
      </c>
      <c r="E11" s="2" t="s">
        <v>231</v>
      </c>
      <c r="F11" s="12">
        <v>90.532399999999996</v>
      </c>
      <c r="G11" s="12">
        <v>98.372399999999999</v>
      </c>
      <c r="H11" s="12">
        <v>4619</v>
      </c>
      <c r="I11" s="12">
        <v>5019</v>
      </c>
      <c r="J11" s="12">
        <v>1.9599999999999999E-2</v>
      </c>
      <c r="K11" s="12">
        <v>1.9599999999999999E-2</v>
      </c>
    </row>
    <row r="12" spans="1:11" ht="25" x14ac:dyDescent="0.35">
      <c r="A12" s="4" t="s">
        <v>159</v>
      </c>
      <c r="B12" s="4" t="s">
        <v>143</v>
      </c>
      <c r="C12" s="4" t="s">
        <v>232</v>
      </c>
      <c r="D12" s="4" t="s">
        <v>233</v>
      </c>
      <c r="E12" s="4" t="s">
        <v>234</v>
      </c>
      <c r="F12" s="5">
        <v>122.202</v>
      </c>
      <c r="G12" s="5">
        <v>118.26</v>
      </c>
      <c r="H12" s="5">
        <v>6.1999979999999999</v>
      </c>
      <c r="I12" s="5">
        <v>6</v>
      </c>
      <c r="J12" s="5">
        <v>19.710006358066568</v>
      </c>
      <c r="K12" s="5">
        <v>19.71</v>
      </c>
    </row>
    <row r="13" spans="1:11" x14ac:dyDescent="0.35">
      <c r="A13" s="2" t="s">
        <v>168</v>
      </c>
      <c r="B13" s="2" t="s">
        <v>146</v>
      </c>
      <c r="C13" s="2" t="s">
        <v>235</v>
      </c>
      <c r="D13" s="2" t="s">
        <v>236</v>
      </c>
      <c r="E13" s="2" t="s">
        <v>219</v>
      </c>
      <c r="F13" s="12">
        <v>303.55200000000002</v>
      </c>
      <c r="G13" s="12">
        <v>178.56</v>
      </c>
      <c r="H13" s="12">
        <v>1224</v>
      </c>
      <c r="I13" s="12">
        <v>720</v>
      </c>
      <c r="J13" s="12">
        <v>0.248</v>
      </c>
      <c r="K13" s="12">
        <v>0.248</v>
      </c>
    </row>
    <row r="14" spans="1:11" x14ac:dyDescent="0.35">
      <c r="A14" s="4" t="s">
        <v>159</v>
      </c>
      <c r="B14" s="4" t="s">
        <v>146</v>
      </c>
      <c r="C14" s="4" t="s">
        <v>235</v>
      </c>
      <c r="D14" s="4" t="s">
        <v>236</v>
      </c>
      <c r="E14" s="4" t="s">
        <v>219</v>
      </c>
      <c r="F14" s="5">
        <v>738.048</v>
      </c>
      <c r="G14" s="5">
        <v>714.24</v>
      </c>
      <c r="H14" s="5">
        <v>2976</v>
      </c>
      <c r="I14" s="5">
        <v>2880</v>
      </c>
      <c r="J14" s="5">
        <v>0.248</v>
      </c>
      <c r="K14" s="5">
        <v>0.248</v>
      </c>
    </row>
    <row r="15" spans="1:11" x14ac:dyDescent="0.35">
      <c r="A15" s="2" t="s">
        <v>159</v>
      </c>
      <c r="B15" s="2" t="s">
        <v>146</v>
      </c>
      <c r="C15" s="2" t="s">
        <v>227</v>
      </c>
      <c r="D15" s="2" t="s">
        <v>228</v>
      </c>
      <c r="E15" s="2" t="s">
        <v>219</v>
      </c>
      <c r="F15" s="12">
        <v>483.6</v>
      </c>
      <c r="G15" s="12">
        <v>468</v>
      </c>
      <c r="H15" s="12">
        <v>744</v>
      </c>
      <c r="I15" s="12">
        <v>720</v>
      </c>
      <c r="J15" s="12">
        <v>0.65</v>
      </c>
      <c r="K15" s="12">
        <v>0.65</v>
      </c>
    </row>
    <row r="16" spans="1:11" x14ac:dyDescent="0.35">
      <c r="A16" s="4" t="s">
        <v>159</v>
      </c>
      <c r="B16" s="4" t="s">
        <v>146</v>
      </c>
      <c r="C16" s="4" t="s">
        <v>225</v>
      </c>
      <c r="D16" s="4" t="s">
        <v>226</v>
      </c>
      <c r="E16" s="4" t="s">
        <v>219</v>
      </c>
      <c r="F16" s="5">
        <v>369.024</v>
      </c>
      <c r="G16" s="5">
        <v>357.12</v>
      </c>
      <c r="H16" s="5">
        <v>744</v>
      </c>
      <c r="I16" s="5">
        <v>720</v>
      </c>
      <c r="J16" s="5">
        <v>0.496</v>
      </c>
      <c r="K16" s="5">
        <v>0.496</v>
      </c>
    </row>
    <row r="17" spans="1:11" ht="25" x14ac:dyDescent="0.35">
      <c r="A17" s="2" t="s">
        <v>162</v>
      </c>
      <c r="B17" s="2" t="s">
        <v>140</v>
      </c>
      <c r="C17" s="2" t="s">
        <v>217</v>
      </c>
      <c r="D17" s="2" t="s">
        <v>237</v>
      </c>
      <c r="E17" s="2" t="s">
        <v>219</v>
      </c>
      <c r="F17" s="12">
        <v>1286.5</v>
      </c>
      <c r="G17" s="12">
        <v>1245</v>
      </c>
      <c r="H17" s="12">
        <v>744</v>
      </c>
      <c r="I17" s="12">
        <v>720</v>
      </c>
      <c r="J17" s="12">
        <v>1.729166666666667</v>
      </c>
      <c r="K17" s="12">
        <v>1.729166666666667</v>
      </c>
    </row>
    <row r="18" spans="1:11" x14ac:dyDescent="0.35">
      <c r="A18" s="4" t="s">
        <v>159</v>
      </c>
      <c r="B18" s="4" t="s">
        <v>145</v>
      </c>
      <c r="C18" s="4" t="s">
        <v>238</v>
      </c>
      <c r="D18" s="4" t="s">
        <v>239</v>
      </c>
      <c r="E18" s="4" t="s">
        <v>222</v>
      </c>
      <c r="F18" s="5">
        <v>2864.0192000000002</v>
      </c>
      <c r="G18" s="5">
        <v>2822.6995999999999</v>
      </c>
      <c r="H18" s="5">
        <v>25122.975120999999</v>
      </c>
      <c r="I18" s="5">
        <v>24760.523421000002</v>
      </c>
      <c r="J18" s="5">
        <v>0.11400000144115099</v>
      </c>
      <c r="K18" s="5">
        <v>0.1139999971731615</v>
      </c>
    </row>
    <row r="19" spans="1:11" x14ac:dyDescent="0.35">
      <c r="A19" s="2" t="s">
        <v>162</v>
      </c>
      <c r="B19" s="2" t="s">
        <v>142</v>
      </c>
      <c r="C19" s="2" t="s">
        <v>220</v>
      </c>
      <c r="D19" s="2" t="s">
        <v>221</v>
      </c>
      <c r="E19" s="2" t="s">
        <v>222</v>
      </c>
      <c r="F19" s="12">
        <v>1841.84</v>
      </c>
      <c r="G19" s="12">
        <v>1815.528</v>
      </c>
      <c r="H19" s="12">
        <v>616</v>
      </c>
      <c r="I19" s="12">
        <v>607.20000000000005</v>
      </c>
      <c r="J19" s="12">
        <v>2.99</v>
      </c>
      <c r="K19" s="12">
        <v>2.99</v>
      </c>
    </row>
  </sheetData>
  <autoFilter ref="A3:K19" xr:uid="{00000000-0009-0000-0000-000007000000}"/>
  <mergeCells count="2">
    <mergeCell ref="A2:K2"/>
    <mergeCell ref="A1:K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8" width="24" customWidth="1"/>
  </cols>
  <sheetData>
    <row r="1" spans="1:8" ht="28" customHeight="1" x14ac:dyDescent="0.35">
      <c r="A1" s="17" t="s">
        <v>240</v>
      </c>
      <c r="B1" s="17"/>
      <c r="C1" s="17"/>
      <c r="D1" s="17"/>
      <c r="E1" s="17"/>
      <c r="F1" s="17"/>
      <c r="G1" s="17"/>
      <c r="H1" s="17"/>
    </row>
    <row r="2" spans="1:8" ht="52" customHeight="1" x14ac:dyDescent="0.35">
      <c r="A2" s="18" t="s">
        <v>241</v>
      </c>
      <c r="B2" s="18"/>
      <c r="C2" s="18"/>
      <c r="D2" s="18"/>
      <c r="E2" s="18"/>
      <c r="F2" s="18"/>
      <c r="G2" s="18"/>
      <c r="H2" s="18"/>
    </row>
    <row r="3" spans="1:8" ht="48" customHeight="1" x14ac:dyDescent="0.35">
      <c r="A3" s="3" t="s">
        <v>132</v>
      </c>
      <c r="B3" s="3" t="s">
        <v>154</v>
      </c>
      <c r="C3" s="3" t="s">
        <v>138</v>
      </c>
      <c r="D3" s="3" t="s">
        <v>31</v>
      </c>
      <c r="E3" s="3" t="s">
        <v>32</v>
      </c>
      <c r="F3" s="3" t="s">
        <v>139</v>
      </c>
      <c r="G3" s="3" t="s">
        <v>155</v>
      </c>
      <c r="H3" s="3" t="s">
        <v>19</v>
      </c>
    </row>
    <row r="4" spans="1:8" ht="25" x14ac:dyDescent="0.35">
      <c r="A4" s="4" t="s">
        <v>135</v>
      </c>
      <c r="B4" s="4" t="s">
        <v>164</v>
      </c>
      <c r="C4" s="4" t="s">
        <v>140</v>
      </c>
      <c r="D4" s="5">
        <v>0</v>
      </c>
      <c r="E4" s="5">
        <v>572.69999999999993</v>
      </c>
      <c r="F4" s="10">
        <f t="shared" ref="F4:F25" si="0">E4-D4</f>
        <v>572.69999999999993</v>
      </c>
      <c r="G4" s="14"/>
      <c r="H4" s="14"/>
    </row>
    <row r="5" spans="1:8" x14ac:dyDescent="0.35">
      <c r="A5" s="2" t="s">
        <v>133</v>
      </c>
      <c r="B5" s="2" t="s">
        <v>159</v>
      </c>
      <c r="C5" s="2" t="s">
        <v>142</v>
      </c>
      <c r="D5" s="12">
        <v>3181.36</v>
      </c>
      <c r="E5" s="12">
        <v>3556.306</v>
      </c>
      <c r="F5" s="8">
        <f t="shared" si="0"/>
        <v>374.94599999999991</v>
      </c>
      <c r="G5" s="13">
        <v>0.1178571428571429</v>
      </c>
      <c r="H5" s="13">
        <v>0.1551190476190476</v>
      </c>
    </row>
    <row r="6" spans="1:8" x14ac:dyDescent="0.35">
      <c r="A6" s="4" t="s">
        <v>134</v>
      </c>
      <c r="B6" s="4" t="s">
        <v>162</v>
      </c>
      <c r="C6" s="4" t="s">
        <v>141</v>
      </c>
      <c r="D6" s="5">
        <v>826.92409999999995</v>
      </c>
      <c r="E6" s="5">
        <v>1187.5338999999999</v>
      </c>
      <c r="F6" s="10">
        <f t="shared" si="0"/>
        <v>360.60979999999995</v>
      </c>
      <c r="G6" s="14">
        <v>0.43608573023811981</v>
      </c>
      <c r="H6" s="14">
        <v>0.48395525457939043</v>
      </c>
    </row>
    <row r="7" spans="1:8" x14ac:dyDescent="0.35">
      <c r="A7" s="2" t="s">
        <v>134</v>
      </c>
      <c r="B7" s="2" t="s">
        <v>162</v>
      </c>
      <c r="C7" s="2" t="s">
        <v>146</v>
      </c>
      <c r="D7" s="12">
        <v>374.976</v>
      </c>
      <c r="E7" s="12">
        <v>537.98400000000004</v>
      </c>
      <c r="F7" s="8">
        <f t="shared" si="0"/>
        <v>163.00800000000004</v>
      </c>
      <c r="G7" s="13">
        <v>0.43471582181259621</v>
      </c>
      <c r="H7" s="13">
        <v>0.4825396825396826</v>
      </c>
    </row>
    <row r="8" spans="1:8" x14ac:dyDescent="0.35">
      <c r="A8" s="4" t="s">
        <v>133</v>
      </c>
      <c r="B8" s="4" t="s">
        <v>168</v>
      </c>
      <c r="C8" s="4" t="s">
        <v>146</v>
      </c>
      <c r="D8" s="5">
        <v>303.55200000000002</v>
      </c>
      <c r="E8" s="5">
        <v>178.56</v>
      </c>
      <c r="F8" s="10">
        <f t="shared" si="0"/>
        <v>-124.99200000000002</v>
      </c>
      <c r="G8" s="14">
        <v>-0.41176470588235292</v>
      </c>
      <c r="H8" s="14">
        <v>-0.39215686274509798</v>
      </c>
    </row>
    <row r="9" spans="1:8" x14ac:dyDescent="0.35">
      <c r="A9" s="2" t="s">
        <v>134</v>
      </c>
      <c r="B9" s="2" t="s">
        <v>162</v>
      </c>
      <c r="C9" s="2" t="s">
        <v>143</v>
      </c>
      <c r="D9" s="12">
        <v>427.459</v>
      </c>
      <c r="E9" s="12">
        <v>509.84500000000003</v>
      </c>
      <c r="F9" s="8">
        <f t="shared" si="0"/>
        <v>82.386000000000024</v>
      </c>
      <c r="G9" s="13">
        <v>0.19273427393036521</v>
      </c>
      <c r="H9" s="13">
        <v>0.2324920830613777</v>
      </c>
    </row>
    <row r="10" spans="1:8" x14ac:dyDescent="0.35">
      <c r="A10" s="4" t="s">
        <v>133</v>
      </c>
      <c r="B10" s="4" t="s">
        <v>159</v>
      </c>
      <c r="C10" s="4" t="s">
        <v>146</v>
      </c>
      <c r="D10" s="5">
        <v>1590.672</v>
      </c>
      <c r="E10" s="5">
        <v>1539.36</v>
      </c>
      <c r="F10" s="10">
        <f t="shared" si="0"/>
        <v>-51.312000000000126</v>
      </c>
      <c r="G10" s="14">
        <v>-3.2258064516129108E-2</v>
      </c>
      <c r="H10" s="14">
        <v>0</v>
      </c>
    </row>
    <row r="11" spans="1:8" ht="25" x14ac:dyDescent="0.35">
      <c r="A11" s="2" t="s">
        <v>134</v>
      </c>
      <c r="B11" s="2" t="s">
        <v>162</v>
      </c>
      <c r="C11" s="2" t="s">
        <v>140</v>
      </c>
      <c r="D11" s="12">
        <v>1286.5</v>
      </c>
      <c r="E11" s="12">
        <v>1245</v>
      </c>
      <c r="F11" s="8">
        <f t="shared" si="0"/>
        <v>-41.5</v>
      </c>
      <c r="G11" s="13">
        <v>-3.2258064516128997E-2</v>
      </c>
      <c r="H11" s="13">
        <v>0</v>
      </c>
    </row>
    <row r="12" spans="1:8" x14ac:dyDescent="0.35">
      <c r="A12" s="4" t="s">
        <v>133</v>
      </c>
      <c r="B12" s="4" t="s">
        <v>159</v>
      </c>
      <c r="C12" s="4" t="s">
        <v>145</v>
      </c>
      <c r="D12" s="5">
        <v>2864.0192000000002</v>
      </c>
      <c r="E12" s="5">
        <v>2822.6995999999999</v>
      </c>
      <c r="F12" s="10">
        <f t="shared" si="0"/>
        <v>-41.319600000000264</v>
      </c>
      <c r="G12" s="14">
        <v>-1.44271379186286E-2</v>
      </c>
      <c r="H12" s="14">
        <v>1.8425290817416951E-2</v>
      </c>
    </row>
    <row r="13" spans="1:8" x14ac:dyDescent="0.35">
      <c r="A13" s="2" t="s">
        <v>134</v>
      </c>
      <c r="B13" s="2" t="s">
        <v>162</v>
      </c>
      <c r="C13" s="2" t="s">
        <v>142</v>
      </c>
      <c r="D13" s="12">
        <v>1841.84</v>
      </c>
      <c r="E13" s="12">
        <v>1815.528</v>
      </c>
      <c r="F13" s="8">
        <f t="shared" si="0"/>
        <v>-26.311999999999898</v>
      </c>
      <c r="G13" s="13">
        <v>-1.428571428571423E-2</v>
      </c>
      <c r="H13" s="13">
        <v>1.857142857142868E-2</v>
      </c>
    </row>
    <row r="14" spans="1:8" x14ac:dyDescent="0.35">
      <c r="A14" s="4" t="s">
        <v>135</v>
      </c>
      <c r="B14" s="4" t="s">
        <v>164</v>
      </c>
      <c r="C14" s="4" t="s">
        <v>144</v>
      </c>
      <c r="D14" s="5">
        <v>731.6</v>
      </c>
      <c r="E14" s="5">
        <v>708</v>
      </c>
      <c r="F14" s="10">
        <f t="shared" si="0"/>
        <v>-23.600000000000023</v>
      </c>
      <c r="G14" s="14">
        <v>-3.2258064516129108E-2</v>
      </c>
      <c r="H14" s="14">
        <v>0</v>
      </c>
    </row>
    <row r="15" spans="1:8" x14ac:dyDescent="0.35">
      <c r="A15" s="2" t="s">
        <v>133</v>
      </c>
      <c r="B15" s="2" t="s">
        <v>159</v>
      </c>
      <c r="C15" s="2" t="s">
        <v>144</v>
      </c>
      <c r="D15" s="12">
        <v>731.6</v>
      </c>
      <c r="E15" s="12">
        <v>708</v>
      </c>
      <c r="F15" s="8">
        <f t="shared" si="0"/>
        <v>-23.600000000000023</v>
      </c>
      <c r="G15" s="13">
        <v>-3.2258064516129108E-2</v>
      </c>
      <c r="H15" s="13">
        <v>0</v>
      </c>
    </row>
    <row r="16" spans="1:8" x14ac:dyDescent="0.35">
      <c r="A16" s="4" t="s">
        <v>133</v>
      </c>
      <c r="B16" s="4" t="s">
        <v>168</v>
      </c>
      <c r="C16" s="4" t="s">
        <v>143</v>
      </c>
      <c r="D16" s="5">
        <v>33.507000000000012</v>
      </c>
      <c r="E16" s="5">
        <v>19.71</v>
      </c>
      <c r="F16" s="10">
        <f t="shared" si="0"/>
        <v>-13.797000000000011</v>
      </c>
      <c r="G16" s="14">
        <v>-0.41176470588235298</v>
      </c>
      <c r="H16" s="14">
        <v>-0.39215686274509809</v>
      </c>
    </row>
    <row r="17" spans="1:8" x14ac:dyDescent="0.35">
      <c r="A17" s="2" t="s">
        <v>133</v>
      </c>
      <c r="B17" s="2" t="s">
        <v>159</v>
      </c>
      <c r="C17" s="2" t="s">
        <v>147</v>
      </c>
      <c r="D17" s="12">
        <v>409.2</v>
      </c>
      <c r="E17" s="12">
        <v>396</v>
      </c>
      <c r="F17" s="8">
        <f t="shared" si="0"/>
        <v>-13.199999999999989</v>
      </c>
      <c r="G17" s="13">
        <v>-3.2258064516128997E-2</v>
      </c>
      <c r="H17" s="13">
        <v>0</v>
      </c>
    </row>
    <row r="18" spans="1:8" x14ac:dyDescent="0.35">
      <c r="A18" s="4" t="s">
        <v>135</v>
      </c>
      <c r="B18" s="4" t="s">
        <v>164</v>
      </c>
      <c r="C18" s="4" t="s">
        <v>146</v>
      </c>
      <c r="D18" s="5">
        <v>369.024</v>
      </c>
      <c r="E18" s="5">
        <v>357.12</v>
      </c>
      <c r="F18" s="10">
        <f t="shared" si="0"/>
        <v>-11.903999999999996</v>
      </c>
      <c r="G18" s="14">
        <v>-3.2258064516128997E-2</v>
      </c>
      <c r="H18" s="14">
        <v>0</v>
      </c>
    </row>
    <row r="19" spans="1:8" x14ac:dyDescent="0.35">
      <c r="A19" s="2" t="s">
        <v>133</v>
      </c>
      <c r="B19" s="2" t="s">
        <v>159</v>
      </c>
      <c r="C19" s="2" t="s">
        <v>148</v>
      </c>
      <c r="D19" s="12">
        <v>365.8</v>
      </c>
      <c r="E19" s="12">
        <v>354</v>
      </c>
      <c r="F19" s="8">
        <f t="shared" si="0"/>
        <v>-11.800000000000011</v>
      </c>
      <c r="G19" s="13">
        <v>-3.2258064516129108E-2</v>
      </c>
      <c r="H19" s="13">
        <v>0</v>
      </c>
    </row>
    <row r="20" spans="1:8" x14ac:dyDescent="0.35">
      <c r="A20" s="4" t="s">
        <v>136</v>
      </c>
      <c r="B20" s="4" t="s">
        <v>166</v>
      </c>
      <c r="C20" s="4" t="s">
        <v>149</v>
      </c>
      <c r="D20" s="5">
        <v>362.7</v>
      </c>
      <c r="E20" s="5">
        <v>351</v>
      </c>
      <c r="F20" s="10">
        <f t="shared" si="0"/>
        <v>-11.699999999999989</v>
      </c>
      <c r="G20" s="14">
        <v>-3.2258064516128997E-2</v>
      </c>
      <c r="H20" s="14">
        <v>0</v>
      </c>
    </row>
    <row r="21" spans="1:8" x14ac:dyDescent="0.35">
      <c r="A21" s="2" t="s">
        <v>133</v>
      </c>
      <c r="B21" s="2" t="s">
        <v>168</v>
      </c>
      <c r="C21" s="2" t="s">
        <v>144</v>
      </c>
      <c r="D21" s="12">
        <v>127.1</v>
      </c>
      <c r="E21" s="12">
        <v>123</v>
      </c>
      <c r="F21" s="8">
        <f t="shared" si="0"/>
        <v>-4.0999999999999943</v>
      </c>
      <c r="G21" s="13">
        <v>-3.2258064516129108E-2</v>
      </c>
      <c r="H21" s="13">
        <v>0</v>
      </c>
    </row>
    <row r="22" spans="1:8" x14ac:dyDescent="0.35">
      <c r="A22" s="4" t="s">
        <v>133</v>
      </c>
      <c r="B22" s="4" t="s">
        <v>159</v>
      </c>
      <c r="C22" s="4" t="s">
        <v>143</v>
      </c>
      <c r="D22" s="5">
        <v>212.73439999999999</v>
      </c>
      <c r="E22" s="5">
        <v>216.63239999999999</v>
      </c>
      <c r="F22" s="10">
        <f t="shared" si="0"/>
        <v>3.8979999999999961</v>
      </c>
      <c r="G22" s="14">
        <v>1.8323317714483481E-2</v>
      </c>
      <c r="H22" s="14">
        <v>5.2267428304966217E-2</v>
      </c>
    </row>
    <row r="23" spans="1:8" x14ac:dyDescent="0.35">
      <c r="A23" s="2" t="s">
        <v>133</v>
      </c>
      <c r="B23" s="2" t="s">
        <v>159</v>
      </c>
      <c r="C23" s="2" t="s">
        <v>176</v>
      </c>
      <c r="D23" s="12">
        <v>74.399999999999991</v>
      </c>
      <c r="E23" s="12">
        <v>72</v>
      </c>
      <c r="F23" s="8">
        <f t="shared" si="0"/>
        <v>-2.3999999999999915</v>
      </c>
      <c r="G23" s="13">
        <v>-3.2258064516128893E-2</v>
      </c>
      <c r="H23" s="13">
        <v>0</v>
      </c>
    </row>
    <row r="24" spans="1:8" x14ac:dyDescent="0.35">
      <c r="A24" s="4" t="s">
        <v>135</v>
      </c>
      <c r="B24" s="4" t="s">
        <v>164</v>
      </c>
      <c r="C24" s="4" t="s">
        <v>177</v>
      </c>
      <c r="D24" s="5">
        <v>27.9</v>
      </c>
      <c r="E24" s="5">
        <v>27</v>
      </c>
      <c r="F24" s="10">
        <f t="shared" si="0"/>
        <v>-0.89999999999999858</v>
      </c>
      <c r="G24" s="14">
        <v>-3.2258064516129108E-2</v>
      </c>
      <c r="H24" s="14">
        <v>0</v>
      </c>
    </row>
    <row r="25" spans="1:8" x14ac:dyDescent="0.35">
      <c r="A25" s="2" t="s">
        <v>135</v>
      </c>
      <c r="B25" s="2" t="s">
        <v>164</v>
      </c>
      <c r="C25" s="2" t="s">
        <v>143</v>
      </c>
      <c r="D25" s="12">
        <v>53.493600000000001</v>
      </c>
      <c r="E25" s="12">
        <v>52.9636</v>
      </c>
      <c r="F25" s="8">
        <f t="shared" si="0"/>
        <v>-0.53000000000000114</v>
      </c>
      <c r="G25" s="13">
        <v>-9.9077272795250471E-3</v>
      </c>
      <c r="H25" s="13">
        <v>2.3095348477824022E-2</v>
      </c>
    </row>
  </sheetData>
  <autoFilter ref="A3:H25" xr:uid="{00000000-0009-0000-0000-000008000000}"/>
  <mergeCells count="2">
    <mergeCell ref="A2:H2"/>
    <mergeCell ref="A1:H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6" width="24" customWidth="1"/>
  </cols>
  <sheetData>
    <row r="1" spans="1:6" ht="28" customHeight="1" x14ac:dyDescent="0.35">
      <c r="A1" s="17" t="s">
        <v>242</v>
      </c>
      <c r="B1" s="17"/>
      <c r="C1" s="17"/>
      <c r="D1" s="17"/>
      <c r="E1" s="17"/>
      <c r="F1" s="17"/>
    </row>
    <row r="2" spans="1:6" ht="52" customHeight="1" x14ac:dyDescent="0.35">
      <c r="A2" s="18" t="s">
        <v>243</v>
      </c>
      <c r="B2" s="18"/>
      <c r="C2" s="18"/>
      <c r="D2" s="18"/>
      <c r="E2" s="18"/>
      <c r="F2" s="18"/>
    </row>
    <row r="3" spans="1:6" ht="48" customHeight="1" x14ac:dyDescent="0.35">
      <c r="A3" s="3" t="s">
        <v>154</v>
      </c>
      <c r="B3" s="3" t="s">
        <v>244</v>
      </c>
      <c r="C3" s="3" t="s">
        <v>31</v>
      </c>
      <c r="D3" s="3" t="s">
        <v>32</v>
      </c>
      <c r="E3" s="3" t="s">
        <v>139</v>
      </c>
      <c r="F3" s="3" t="s">
        <v>155</v>
      </c>
    </row>
    <row r="4" spans="1:6" x14ac:dyDescent="0.35">
      <c r="A4" s="4" t="s">
        <v>162</v>
      </c>
      <c r="B4" s="4" t="s">
        <v>245</v>
      </c>
      <c r="C4" s="5">
        <v>4757.6990999999998</v>
      </c>
      <c r="D4" s="5">
        <v>5295.8909000000003</v>
      </c>
      <c r="E4" s="10">
        <f>D4-C4</f>
        <v>538.19180000000051</v>
      </c>
      <c r="F4" s="5">
        <v>0.1131201845026308</v>
      </c>
    </row>
    <row r="5" spans="1:6" x14ac:dyDescent="0.35">
      <c r="A5" s="2" t="s">
        <v>164</v>
      </c>
      <c r="B5" s="2" t="s">
        <v>246</v>
      </c>
      <c r="C5" s="12">
        <v>1182.0175999999999</v>
      </c>
      <c r="D5" s="12">
        <v>1717.7836</v>
      </c>
      <c r="E5" s="8">
        <f>D5-C5</f>
        <v>535.76600000000008</v>
      </c>
      <c r="F5" s="12">
        <v>0.45326397847206312</v>
      </c>
    </row>
    <row r="6" spans="1:6" x14ac:dyDescent="0.35">
      <c r="A6" s="4" t="s">
        <v>159</v>
      </c>
      <c r="B6" s="4" t="s">
        <v>247</v>
      </c>
      <c r="C6" s="5">
        <v>9429.7855999999992</v>
      </c>
      <c r="D6" s="5">
        <v>9664.9979999999996</v>
      </c>
      <c r="E6" s="10">
        <f>D6-C6</f>
        <v>235.21240000000034</v>
      </c>
      <c r="F6" s="5">
        <v>2.4943557571446728E-2</v>
      </c>
    </row>
    <row r="7" spans="1:6" x14ac:dyDescent="0.35">
      <c r="A7" s="2" t="s">
        <v>168</v>
      </c>
      <c r="B7" s="2" t="s">
        <v>248</v>
      </c>
      <c r="C7" s="12">
        <v>464.15899999999999</v>
      </c>
      <c r="D7" s="12">
        <v>321.27</v>
      </c>
      <c r="E7" s="8">
        <f>D7-C7</f>
        <v>-142.88900000000001</v>
      </c>
      <c r="F7" s="12">
        <v>-0.3078449410654539</v>
      </c>
    </row>
    <row r="8" spans="1:6" x14ac:dyDescent="0.35">
      <c r="A8" s="4" t="s">
        <v>166</v>
      </c>
      <c r="B8" s="4" t="s">
        <v>249</v>
      </c>
      <c r="C8" s="5">
        <v>362.7</v>
      </c>
      <c r="D8" s="5">
        <v>351</v>
      </c>
      <c r="E8" s="10">
        <f>D8-C8</f>
        <v>-11.699999999999989</v>
      </c>
      <c r="F8" s="5">
        <v>-3.2258064516128997E-2</v>
      </c>
    </row>
  </sheetData>
  <autoFilter ref="A3:F8" xr:uid="{00000000-0009-0000-0000-000009000000}"/>
  <mergeCells count="2">
    <mergeCell ref="A2:F2"/>
    <mergeCell ref="A1:F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2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6" width="24" customWidth="1"/>
  </cols>
  <sheetData>
    <row r="1" spans="1:6" ht="28" customHeight="1" x14ac:dyDescent="0.35">
      <c r="A1" s="17" t="s">
        <v>250</v>
      </c>
      <c r="B1" s="17"/>
      <c r="C1" s="17"/>
      <c r="D1" s="17"/>
      <c r="E1" s="17"/>
      <c r="F1" s="17"/>
    </row>
    <row r="2" spans="1:6" ht="52" customHeight="1" x14ac:dyDescent="0.35">
      <c r="A2" s="18" t="s">
        <v>251</v>
      </c>
      <c r="B2" s="18"/>
      <c r="C2" s="18"/>
      <c r="D2" s="18"/>
      <c r="E2" s="18"/>
      <c r="F2" s="18"/>
    </row>
    <row r="3" spans="1:6" ht="48" customHeight="1" x14ac:dyDescent="0.35">
      <c r="A3" s="3" t="s">
        <v>154</v>
      </c>
      <c r="B3" s="3" t="s">
        <v>244</v>
      </c>
      <c r="C3" s="3" t="s">
        <v>252</v>
      </c>
      <c r="D3" s="3" t="s">
        <v>138</v>
      </c>
      <c r="E3" s="3" t="s">
        <v>32</v>
      </c>
      <c r="F3" s="3" t="s">
        <v>253</v>
      </c>
    </row>
    <row r="4" spans="1:6" ht="87.5" x14ac:dyDescent="0.35">
      <c r="A4" s="4" t="s">
        <v>159</v>
      </c>
      <c r="B4" s="4" t="s">
        <v>247</v>
      </c>
      <c r="C4" s="4" t="s">
        <v>254</v>
      </c>
      <c r="D4" s="4" t="s">
        <v>142</v>
      </c>
      <c r="E4" s="5">
        <v>3556.306</v>
      </c>
      <c r="F4" s="4" t="s">
        <v>255</v>
      </c>
    </row>
    <row r="5" spans="1:6" ht="87.5" x14ac:dyDescent="0.35">
      <c r="A5" s="2" t="s">
        <v>159</v>
      </c>
      <c r="B5" s="2" t="s">
        <v>247</v>
      </c>
      <c r="C5" s="2" t="s">
        <v>256</v>
      </c>
      <c r="D5" s="2" t="s">
        <v>145</v>
      </c>
      <c r="E5" s="12">
        <v>2822.6995999999999</v>
      </c>
      <c r="F5" s="2" t="s">
        <v>257</v>
      </c>
    </row>
    <row r="6" spans="1:6" ht="87.5" x14ac:dyDescent="0.35">
      <c r="A6" s="4" t="s">
        <v>162</v>
      </c>
      <c r="B6" s="4" t="s">
        <v>245</v>
      </c>
      <c r="C6" s="4" t="s">
        <v>258</v>
      </c>
      <c r="D6" s="4" t="s">
        <v>142</v>
      </c>
      <c r="E6" s="5">
        <v>1815.528</v>
      </c>
      <c r="F6" s="4" t="s">
        <v>259</v>
      </c>
    </row>
    <row r="7" spans="1:6" ht="87.5" x14ac:dyDescent="0.35">
      <c r="A7" s="2" t="s">
        <v>162</v>
      </c>
      <c r="B7" s="2" t="s">
        <v>245</v>
      </c>
      <c r="C7" s="2" t="s">
        <v>260</v>
      </c>
      <c r="D7" s="2" t="s">
        <v>140</v>
      </c>
      <c r="E7" s="12">
        <v>1245</v>
      </c>
      <c r="F7" s="2" t="s">
        <v>261</v>
      </c>
    </row>
    <row r="8" spans="1:6" ht="87.5" x14ac:dyDescent="0.35">
      <c r="A8" s="4" t="s">
        <v>162</v>
      </c>
      <c r="B8" s="4" t="s">
        <v>245</v>
      </c>
      <c r="C8" s="4" t="s">
        <v>262</v>
      </c>
      <c r="D8" s="4" t="s">
        <v>141</v>
      </c>
      <c r="E8" s="5">
        <v>1187.5338999999999</v>
      </c>
      <c r="F8" s="4" t="s">
        <v>263</v>
      </c>
    </row>
    <row r="9" spans="1:6" ht="87.5" x14ac:dyDescent="0.35">
      <c r="A9" s="2" t="s">
        <v>159</v>
      </c>
      <c r="B9" s="2" t="s">
        <v>247</v>
      </c>
      <c r="C9" s="2" t="s">
        <v>264</v>
      </c>
      <c r="D9" s="2" t="s">
        <v>144</v>
      </c>
      <c r="E9" s="12">
        <v>708</v>
      </c>
      <c r="F9" s="2" t="s">
        <v>265</v>
      </c>
    </row>
    <row r="10" spans="1:6" ht="87.5" x14ac:dyDescent="0.35">
      <c r="A10" s="4" t="s">
        <v>164</v>
      </c>
      <c r="B10" s="4" t="s">
        <v>246</v>
      </c>
      <c r="C10" s="4" t="s">
        <v>266</v>
      </c>
      <c r="D10" s="4" t="s">
        <v>144</v>
      </c>
      <c r="E10" s="5">
        <v>708</v>
      </c>
      <c r="F10" s="4" t="s">
        <v>267</v>
      </c>
    </row>
    <row r="11" spans="1:6" ht="87.5" x14ac:dyDescent="0.35">
      <c r="A11" s="2" t="s">
        <v>164</v>
      </c>
      <c r="B11" s="2" t="s">
        <v>246</v>
      </c>
      <c r="C11" s="2" t="s">
        <v>268</v>
      </c>
      <c r="D11" s="2" t="s">
        <v>140</v>
      </c>
      <c r="E11" s="12">
        <v>572.70000000000005</v>
      </c>
      <c r="F11" s="2" t="s">
        <v>269</v>
      </c>
    </row>
    <row r="12" spans="1:6" ht="87.5" x14ac:dyDescent="0.35">
      <c r="A12" s="4" t="s">
        <v>162</v>
      </c>
      <c r="B12" s="4" t="s">
        <v>245</v>
      </c>
      <c r="C12" s="4" t="s">
        <v>270</v>
      </c>
      <c r="D12" s="4" t="s">
        <v>143</v>
      </c>
      <c r="E12" s="5">
        <v>477.65199999999999</v>
      </c>
      <c r="F12" s="4" t="s">
        <v>271</v>
      </c>
    </row>
    <row r="13" spans="1:6" ht="87.5" x14ac:dyDescent="0.35">
      <c r="A13" s="2" t="s">
        <v>159</v>
      </c>
      <c r="B13" s="2" t="s">
        <v>247</v>
      </c>
      <c r="C13" s="2" t="s">
        <v>272</v>
      </c>
      <c r="D13" s="2" t="s">
        <v>146</v>
      </c>
      <c r="E13" s="12">
        <v>468</v>
      </c>
      <c r="F13" s="2" t="s">
        <v>273</v>
      </c>
    </row>
    <row r="14" spans="1:6" ht="75" x14ac:dyDescent="0.35">
      <c r="A14" s="4" t="s">
        <v>159</v>
      </c>
      <c r="B14" s="4" t="s">
        <v>247</v>
      </c>
      <c r="C14" s="4" t="s">
        <v>274</v>
      </c>
      <c r="D14" s="4" t="s">
        <v>147</v>
      </c>
      <c r="E14" s="5">
        <v>396</v>
      </c>
      <c r="F14" s="4" t="s">
        <v>275</v>
      </c>
    </row>
    <row r="15" spans="1:6" ht="87.5" x14ac:dyDescent="0.35">
      <c r="A15" s="2" t="s">
        <v>162</v>
      </c>
      <c r="B15" s="2" t="s">
        <v>245</v>
      </c>
      <c r="C15" s="2" t="s">
        <v>276</v>
      </c>
      <c r="D15" s="2" t="s">
        <v>146</v>
      </c>
      <c r="E15" s="12">
        <v>362.88</v>
      </c>
      <c r="F15" s="2" t="s">
        <v>277</v>
      </c>
    </row>
    <row r="16" spans="1:6" ht="87.5" x14ac:dyDescent="0.35">
      <c r="A16" s="4" t="s">
        <v>159</v>
      </c>
      <c r="B16" s="4" t="s">
        <v>247</v>
      </c>
      <c r="C16" s="4" t="s">
        <v>278</v>
      </c>
      <c r="D16" s="4" t="s">
        <v>146</v>
      </c>
      <c r="E16" s="5">
        <v>357.12</v>
      </c>
      <c r="F16" s="4" t="s">
        <v>279</v>
      </c>
    </row>
    <row r="17" spans="1:6" ht="87.5" x14ac:dyDescent="0.35">
      <c r="A17" s="2" t="s">
        <v>159</v>
      </c>
      <c r="B17" s="2" t="s">
        <v>247</v>
      </c>
      <c r="C17" s="2" t="s">
        <v>256</v>
      </c>
      <c r="D17" s="2" t="s">
        <v>148</v>
      </c>
      <c r="E17" s="12">
        <v>354</v>
      </c>
      <c r="F17" s="2" t="s">
        <v>257</v>
      </c>
    </row>
    <row r="18" spans="1:6" ht="87.5" x14ac:dyDescent="0.35">
      <c r="A18" s="4" t="s">
        <v>166</v>
      </c>
      <c r="B18" s="4" t="s">
        <v>249</v>
      </c>
      <c r="C18" s="4" t="s">
        <v>280</v>
      </c>
      <c r="D18" s="4" t="s">
        <v>149</v>
      </c>
      <c r="E18" s="5">
        <v>351</v>
      </c>
      <c r="F18" s="4" t="s">
        <v>281</v>
      </c>
    </row>
    <row r="19" spans="1:6" ht="87.5" x14ac:dyDescent="0.35">
      <c r="A19" s="2" t="s">
        <v>159</v>
      </c>
      <c r="B19" s="2" t="s">
        <v>247</v>
      </c>
      <c r="C19" s="2" t="s">
        <v>282</v>
      </c>
      <c r="D19" s="2" t="s">
        <v>146</v>
      </c>
      <c r="E19" s="12">
        <v>178.56</v>
      </c>
      <c r="F19" s="2" t="s">
        <v>283</v>
      </c>
    </row>
    <row r="20" spans="1:6" ht="87.5" x14ac:dyDescent="0.35">
      <c r="A20" s="4" t="s">
        <v>159</v>
      </c>
      <c r="B20" s="4" t="s">
        <v>247</v>
      </c>
      <c r="C20" s="4" t="s">
        <v>284</v>
      </c>
      <c r="D20" s="4" t="s">
        <v>146</v>
      </c>
      <c r="E20" s="5">
        <v>178.56</v>
      </c>
      <c r="F20" s="4" t="s">
        <v>285</v>
      </c>
    </row>
    <row r="21" spans="1:6" ht="87.5" x14ac:dyDescent="0.35">
      <c r="A21" s="2" t="s">
        <v>159</v>
      </c>
      <c r="B21" s="2" t="s">
        <v>247</v>
      </c>
      <c r="C21" s="2" t="s">
        <v>286</v>
      </c>
      <c r="D21" s="2" t="s">
        <v>146</v>
      </c>
      <c r="E21" s="12">
        <v>178.56</v>
      </c>
      <c r="F21" s="2" t="s">
        <v>287</v>
      </c>
    </row>
    <row r="22" spans="1:6" ht="87.5" x14ac:dyDescent="0.35">
      <c r="A22" s="4" t="s">
        <v>159</v>
      </c>
      <c r="B22" s="4" t="s">
        <v>247</v>
      </c>
      <c r="C22" s="4" t="s">
        <v>288</v>
      </c>
      <c r="D22" s="4" t="s">
        <v>146</v>
      </c>
      <c r="E22" s="5">
        <v>178.56</v>
      </c>
      <c r="F22" s="4" t="s">
        <v>289</v>
      </c>
    </row>
    <row r="23" spans="1:6" ht="87.5" x14ac:dyDescent="0.35">
      <c r="A23" s="2" t="s">
        <v>168</v>
      </c>
      <c r="B23" s="2" t="s">
        <v>248</v>
      </c>
      <c r="C23" s="2" t="s">
        <v>290</v>
      </c>
      <c r="D23" s="2" t="s">
        <v>146</v>
      </c>
      <c r="E23" s="12">
        <v>178.56</v>
      </c>
      <c r="F23" s="2" t="s">
        <v>291</v>
      </c>
    </row>
    <row r="24" spans="1:6" ht="87.5" x14ac:dyDescent="0.35">
      <c r="A24" s="4" t="s">
        <v>164</v>
      </c>
      <c r="B24" s="4" t="s">
        <v>246</v>
      </c>
      <c r="C24" s="4" t="s">
        <v>292</v>
      </c>
      <c r="D24" s="4" t="s">
        <v>146</v>
      </c>
      <c r="E24" s="5">
        <v>178.56</v>
      </c>
      <c r="F24" s="4" t="s">
        <v>293</v>
      </c>
    </row>
    <row r="25" spans="1:6" ht="87.5" x14ac:dyDescent="0.35">
      <c r="A25" s="2" t="s">
        <v>164</v>
      </c>
      <c r="B25" s="2" t="s">
        <v>246</v>
      </c>
      <c r="C25" s="2" t="s">
        <v>294</v>
      </c>
      <c r="D25" s="2" t="s">
        <v>146</v>
      </c>
      <c r="E25" s="12">
        <v>178.56</v>
      </c>
      <c r="F25" s="2" t="s">
        <v>295</v>
      </c>
    </row>
    <row r="26" spans="1:6" ht="87.5" x14ac:dyDescent="0.35">
      <c r="A26" s="4" t="s">
        <v>162</v>
      </c>
      <c r="B26" s="4" t="s">
        <v>245</v>
      </c>
      <c r="C26" s="4" t="s">
        <v>296</v>
      </c>
      <c r="D26" s="4" t="s">
        <v>146</v>
      </c>
      <c r="E26" s="5">
        <v>175.10400000000001</v>
      </c>
      <c r="F26" s="4" t="s">
        <v>297</v>
      </c>
    </row>
    <row r="27" spans="1:6" ht="87.5" x14ac:dyDescent="0.35">
      <c r="A27" s="2" t="s">
        <v>168</v>
      </c>
      <c r="B27" s="2" t="s">
        <v>248</v>
      </c>
      <c r="C27" s="2" t="s">
        <v>298</v>
      </c>
      <c r="D27" s="2" t="s">
        <v>144</v>
      </c>
      <c r="E27" s="12">
        <v>123</v>
      </c>
      <c r="F27" s="2" t="s">
        <v>299</v>
      </c>
    </row>
    <row r="28" spans="1:6" ht="87.5" x14ac:dyDescent="0.35">
      <c r="A28" s="4" t="s">
        <v>159</v>
      </c>
      <c r="B28" s="4" t="s">
        <v>247</v>
      </c>
      <c r="C28" s="4" t="s">
        <v>300</v>
      </c>
      <c r="D28" s="4" t="s">
        <v>143</v>
      </c>
      <c r="E28" s="5">
        <v>98.372399999999999</v>
      </c>
      <c r="F28" s="4" t="s">
        <v>301</v>
      </c>
    </row>
    <row r="29" spans="1:6" ht="87.5" x14ac:dyDescent="0.35">
      <c r="A29" s="2" t="s">
        <v>159</v>
      </c>
      <c r="B29" s="2" t="s">
        <v>247</v>
      </c>
      <c r="C29" s="2" t="s">
        <v>302</v>
      </c>
      <c r="D29" s="2" t="s">
        <v>176</v>
      </c>
      <c r="E29" s="12">
        <v>72</v>
      </c>
      <c r="F29" s="2" t="s">
        <v>303</v>
      </c>
    </row>
    <row r="30" spans="1:6" ht="75" x14ac:dyDescent="0.35">
      <c r="A30" s="4" t="s">
        <v>164</v>
      </c>
      <c r="B30" s="4" t="s">
        <v>246</v>
      </c>
      <c r="C30" s="4" t="s">
        <v>304</v>
      </c>
      <c r="D30" s="4" t="s">
        <v>177</v>
      </c>
      <c r="E30" s="5">
        <v>27</v>
      </c>
      <c r="F30" s="4" t="s">
        <v>305</v>
      </c>
    </row>
    <row r="31" spans="1:6" ht="87.5" x14ac:dyDescent="0.35">
      <c r="A31" s="2" t="s">
        <v>159</v>
      </c>
      <c r="B31" s="2" t="s">
        <v>247</v>
      </c>
      <c r="C31" s="2" t="s">
        <v>306</v>
      </c>
      <c r="D31" s="2" t="s">
        <v>143</v>
      </c>
      <c r="E31" s="12">
        <v>19.71</v>
      </c>
      <c r="F31" s="2" t="s">
        <v>307</v>
      </c>
    </row>
    <row r="32" spans="1:6" ht="87.5" x14ac:dyDescent="0.35">
      <c r="A32" s="4" t="s">
        <v>159</v>
      </c>
      <c r="B32" s="4" t="s">
        <v>247</v>
      </c>
      <c r="C32" s="4" t="s">
        <v>308</v>
      </c>
      <c r="D32" s="4" t="s">
        <v>143</v>
      </c>
      <c r="E32" s="5">
        <v>19.71</v>
      </c>
      <c r="F32" s="4" t="s">
        <v>309</v>
      </c>
    </row>
    <row r="33" spans="1:6" ht="87.5" x14ac:dyDescent="0.35">
      <c r="A33" s="2" t="s">
        <v>159</v>
      </c>
      <c r="B33" s="2" t="s">
        <v>247</v>
      </c>
      <c r="C33" s="2" t="s">
        <v>310</v>
      </c>
      <c r="D33" s="2" t="s">
        <v>143</v>
      </c>
      <c r="E33" s="12">
        <v>19.71</v>
      </c>
      <c r="F33" s="2" t="s">
        <v>311</v>
      </c>
    </row>
    <row r="34" spans="1:6" ht="87.5" x14ac:dyDescent="0.35">
      <c r="A34" s="4" t="s">
        <v>159</v>
      </c>
      <c r="B34" s="4" t="s">
        <v>247</v>
      </c>
      <c r="C34" s="4" t="s">
        <v>312</v>
      </c>
      <c r="D34" s="4" t="s">
        <v>143</v>
      </c>
      <c r="E34" s="5">
        <v>19.71</v>
      </c>
      <c r="F34" s="4" t="s">
        <v>313</v>
      </c>
    </row>
    <row r="35" spans="1:6" ht="87.5" x14ac:dyDescent="0.35">
      <c r="A35" s="2" t="s">
        <v>159</v>
      </c>
      <c r="B35" s="2" t="s">
        <v>247</v>
      </c>
      <c r="C35" s="2" t="s">
        <v>314</v>
      </c>
      <c r="D35" s="2" t="s">
        <v>143</v>
      </c>
      <c r="E35" s="12">
        <v>19.71</v>
      </c>
      <c r="F35" s="2" t="s">
        <v>315</v>
      </c>
    </row>
    <row r="36" spans="1:6" ht="87.5" x14ac:dyDescent="0.35">
      <c r="A36" s="4" t="s">
        <v>159</v>
      </c>
      <c r="B36" s="4" t="s">
        <v>247</v>
      </c>
      <c r="C36" s="4" t="s">
        <v>316</v>
      </c>
      <c r="D36" s="4" t="s">
        <v>143</v>
      </c>
      <c r="E36" s="5">
        <v>19.71</v>
      </c>
      <c r="F36" s="4" t="s">
        <v>317</v>
      </c>
    </row>
    <row r="37" spans="1:6" ht="87.5" x14ac:dyDescent="0.35">
      <c r="A37" s="2" t="s">
        <v>168</v>
      </c>
      <c r="B37" s="2" t="s">
        <v>248</v>
      </c>
      <c r="C37" s="2" t="s">
        <v>318</v>
      </c>
      <c r="D37" s="2" t="s">
        <v>143</v>
      </c>
      <c r="E37" s="12">
        <v>19.71</v>
      </c>
      <c r="F37" s="2" t="s">
        <v>319</v>
      </c>
    </row>
    <row r="38" spans="1:6" ht="75" x14ac:dyDescent="0.35">
      <c r="A38" s="4" t="s">
        <v>164</v>
      </c>
      <c r="B38" s="4" t="s">
        <v>246</v>
      </c>
      <c r="C38" s="4" t="s">
        <v>320</v>
      </c>
      <c r="D38" s="4" t="s">
        <v>143</v>
      </c>
      <c r="E38" s="5">
        <v>19.71</v>
      </c>
      <c r="F38" s="4" t="s">
        <v>321</v>
      </c>
    </row>
    <row r="39" spans="1:6" ht="75" x14ac:dyDescent="0.35">
      <c r="A39" s="2" t="s">
        <v>164</v>
      </c>
      <c r="B39" s="2" t="s">
        <v>246</v>
      </c>
      <c r="C39" s="2" t="s">
        <v>322</v>
      </c>
      <c r="D39" s="2" t="s">
        <v>143</v>
      </c>
      <c r="E39" s="12">
        <v>19.71</v>
      </c>
      <c r="F39" s="2" t="s">
        <v>323</v>
      </c>
    </row>
    <row r="40" spans="1:6" ht="75" x14ac:dyDescent="0.35">
      <c r="A40" s="4" t="s">
        <v>162</v>
      </c>
      <c r="B40" s="4" t="s">
        <v>245</v>
      </c>
      <c r="C40" s="4" t="s">
        <v>324</v>
      </c>
      <c r="D40" s="4" t="s">
        <v>143</v>
      </c>
      <c r="E40" s="5">
        <v>19.71</v>
      </c>
      <c r="F40" s="4" t="s">
        <v>325</v>
      </c>
    </row>
    <row r="41" spans="1:6" ht="87.5" x14ac:dyDescent="0.35">
      <c r="A41" s="2" t="s">
        <v>164</v>
      </c>
      <c r="B41" s="2" t="s">
        <v>246</v>
      </c>
      <c r="C41" s="2" t="s">
        <v>326</v>
      </c>
      <c r="D41" s="2" t="s">
        <v>143</v>
      </c>
      <c r="E41" s="12">
        <v>13.5436</v>
      </c>
      <c r="F41" s="2" t="s">
        <v>327</v>
      </c>
    </row>
    <row r="42" spans="1:6" ht="87.5" x14ac:dyDescent="0.35">
      <c r="A42" s="4" t="s">
        <v>162</v>
      </c>
      <c r="B42" s="4" t="s">
        <v>245</v>
      </c>
      <c r="C42" s="4" t="s">
        <v>328</v>
      </c>
      <c r="D42" s="4" t="s">
        <v>143</v>
      </c>
      <c r="E42" s="5">
        <v>12.483000000000001</v>
      </c>
      <c r="F42" s="4" t="s">
        <v>329</v>
      </c>
    </row>
  </sheetData>
  <autoFilter ref="A3:F42" xr:uid="{00000000-0009-0000-0000-00000A000000}"/>
  <mergeCells count="2">
    <mergeCell ref="A2:F2"/>
    <mergeCell ref="A1:F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3" width="24" customWidth="1"/>
  </cols>
  <sheetData>
    <row r="1" spans="1:3" ht="28" customHeight="1" x14ac:dyDescent="0.35">
      <c r="A1" s="17" t="s">
        <v>330</v>
      </c>
      <c r="B1" s="17"/>
      <c r="C1" s="17"/>
    </row>
    <row r="2" spans="1:3" ht="52" customHeight="1" x14ac:dyDescent="0.35">
      <c r="A2" s="18" t="s">
        <v>331</v>
      </c>
      <c r="B2" s="18"/>
      <c r="C2" s="18"/>
    </row>
    <row r="3" spans="1:3" ht="48" customHeight="1" x14ac:dyDescent="0.35">
      <c r="A3" s="3" t="s">
        <v>332</v>
      </c>
      <c r="B3" s="3" t="s">
        <v>31</v>
      </c>
      <c r="C3" s="3" t="s">
        <v>32</v>
      </c>
    </row>
    <row r="4" spans="1:3" x14ac:dyDescent="0.35">
      <c r="A4" s="5">
        <v>1</v>
      </c>
      <c r="B4" s="5">
        <v>461.14850000000001</v>
      </c>
      <c r="C4" s="5">
        <v>553.49680000000001</v>
      </c>
    </row>
    <row r="5" spans="1:3" x14ac:dyDescent="0.35">
      <c r="A5" s="12">
        <v>2</v>
      </c>
      <c r="B5" s="12">
        <v>455.50380000000001</v>
      </c>
      <c r="C5" s="12">
        <v>559.88810000000001</v>
      </c>
    </row>
    <row r="6" spans="1:3" x14ac:dyDescent="0.35">
      <c r="A6" s="5">
        <v>3</v>
      </c>
      <c r="B6" s="5">
        <v>563.57100000000003</v>
      </c>
      <c r="C6" s="5">
        <v>555.70730000000003</v>
      </c>
    </row>
    <row r="7" spans="1:3" x14ac:dyDescent="0.35">
      <c r="A7" s="12">
        <v>4</v>
      </c>
      <c r="B7" s="12">
        <v>550.92129999999997</v>
      </c>
      <c r="C7" s="12">
        <v>571.92809999999997</v>
      </c>
    </row>
    <row r="8" spans="1:3" x14ac:dyDescent="0.35">
      <c r="A8" s="5">
        <v>5</v>
      </c>
      <c r="B8" s="5">
        <v>556.50670000000002</v>
      </c>
      <c r="C8" s="5">
        <v>459.32940000000002</v>
      </c>
    </row>
    <row r="9" spans="1:3" x14ac:dyDescent="0.35">
      <c r="A9" s="12">
        <v>6</v>
      </c>
      <c r="B9" s="12">
        <v>543.50699999999995</v>
      </c>
      <c r="C9" s="12">
        <v>466.36869999999999</v>
      </c>
    </row>
    <row r="10" spans="1:3" x14ac:dyDescent="0.35">
      <c r="A10" s="5">
        <v>7</v>
      </c>
      <c r="B10" s="5">
        <v>554.72490000000005</v>
      </c>
      <c r="C10" s="5">
        <v>565.64239999999995</v>
      </c>
    </row>
    <row r="11" spans="1:3" x14ac:dyDescent="0.35">
      <c r="A11" s="12">
        <v>8</v>
      </c>
      <c r="B11" s="12">
        <v>463.85899999999998</v>
      </c>
      <c r="C11" s="12">
        <v>586.09050000000002</v>
      </c>
    </row>
    <row r="12" spans="1:3" x14ac:dyDescent="0.35">
      <c r="A12" s="5">
        <v>9</v>
      </c>
      <c r="B12" s="5">
        <v>453.40100000000001</v>
      </c>
      <c r="C12" s="5">
        <v>597.45690000000002</v>
      </c>
    </row>
    <row r="13" spans="1:3" x14ac:dyDescent="0.35">
      <c r="A13" s="12">
        <v>10</v>
      </c>
      <c r="B13" s="12">
        <v>555.22130000000004</v>
      </c>
      <c r="C13" s="12">
        <v>598.43500000000006</v>
      </c>
    </row>
    <row r="14" spans="1:3" x14ac:dyDescent="0.35">
      <c r="A14" s="5">
        <v>11</v>
      </c>
      <c r="B14" s="5">
        <v>551.94960000000003</v>
      </c>
      <c r="C14" s="5">
        <v>592.74289999999996</v>
      </c>
    </row>
    <row r="15" spans="1:3" x14ac:dyDescent="0.35">
      <c r="A15" s="12">
        <v>12</v>
      </c>
      <c r="B15" s="12">
        <v>553.93650000000002</v>
      </c>
      <c r="C15" s="12">
        <v>497.28289999999998</v>
      </c>
    </row>
    <row r="16" spans="1:3" x14ac:dyDescent="0.35">
      <c r="A16" s="5">
        <v>13</v>
      </c>
      <c r="B16" s="5">
        <v>545.68809999999996</v>
      </c>
      <c r="C16" s="5">
        <v>502.35759999999999</v>
      </c>
    </row>
    <row r="17" spans="1:3" x14ac:dyDescent="0.35">
      <c r="A17" s="12">
        <v>14</v>
      </c>
      <c r="B17" s="12">
        <v>559.62130000000002</v>
      </c>
      <c r="C17" s="12">
        <v>599.6875</v>
      </c>
    </row>
    <row r="18" spans="1:3" x14ac:dyDescent="0.35">
      <c r="A18" s="5">
        <v>15</v>
      </c>
      <c r="B18" s="5">
        <v>456.20760000000001</v>
      </c>
      <c r="C18" s="5">
        <v>636.48860000000002</v>
      </c>
    </row>
    <row r="19" spans="1:3" x14ac:dyDescent="0.35">
      <c r="A19" s="12">
        <v>16</v>
      </c>
      <c r="B19" s="12">
        <v>464.64600000000002</v>
      </c>
      <c r="C19" s="12">
        <v>617.72800000000007</v>
      </c>
    </row>
    <row r="20" spans="1:3" x14ac:dyDescent="0.35">
      <c r="A20" s="5">
        <v>17</v>
      </c>
      <c r="B20" s="5">
        <v>563.87400000000002</v>
      </c>
      <c r="C20" s="5">
        <v>631.40219999999999</v>
      </c>
    </row>
    <row r="21" spans="1:3" x14ac:dyDescent="0.35">
      <c r="A21" s="12">
        <v>18</v>
      </c>
      <c r="B21" s="12">
        <v>546.76220000000001</v>
      </c>
      <c r="C21" s="12">
        <v>632.36149999999998</v>
      </c>
    </row>
    <row r="22" spans="1:3" x14ac:dyDescent="0.35">
      <c r="A22" s="5">
        <v>19</v>
      </c>
      <c r="B22" s="5">
        <v>544.72749999999996</v>
      </c>
      <c r="C22" s="5">
        <v>524.0258</v>
      </c>
    </row>
    <row r="23" spans="1:3" x14ac:dyDescent="0.35">
      <c r="A23" s="12">
        <v>20</v>
      </c>
      <c r="B23" s="12">
        <v>555.17280000000005</v>
      </c>
      <c r="C23" s="12">
        <v>520.97580000000005</v>
      </c>
    </row>
    <row r="24" spans="1:3" x14ac:dyDescent="0.35">
      <c r="A24" s="5">
        <v>21</v>
      </c>
      <c r="B24" s="5">
        <v>555.51290000000006</v>
      </c>
      <c r="C24" s="5">
        <v>621.6232</v>
      </c>
    </row>
    <row r="25" spans="1:3" x14ac:dyDescent="0.35">
      <c r="A25" s="12">
        <v>22</v>
      </c>
      <c r="B25" s="12">
        <v>456.7817</v>
      </c>
      <c r="C25" s="12">
        <v>619.85619999999994</v>
      </c>
    </row>
    <row r="26" spans="1:3" x14ac:dyDescent="0.35">
      <c r="A26" s="5">
        <v>23</v>
      </c>
      <c r="B26" s="5">
        <v>452.0933</v>
      </c>
      <c r="C26" s="5">
        <v>628.68520000000001</v>
      </c>
    </row>
    <row r="27" spans="1:3" x14ac:dyDescent="0.35">
      <c r="A27" s="12">
        <v>24</v>
      </c>
      <c r="B27" s="12">
        <v>555.11469999999997</v>
      </c>
      <c r="C27" s="12">
        <v>627.81989999999996</v>
      </c>
    </row>
    <row r="28" spans="1:3" x14ac:dyDescent="0.35">
      <c r="A28" s="5">
        <v>25</v>
      </c>
      <c r="B28" s="5">
        <v>558.48099999999999</v>
      </c>
      <c r="C28" s="5">
        <v>640.27930000000003</v>
      </c>
    </row>
    <row r="29" spans="1:3" x14ac:dyDescent="0.35">
      <c r="A29" s="12">
        <v>26</v>
      </c>
      <c r="B29" s="12">
        <v>553.61919999999998</v>
      </c>
      <c r="C29" s="12">
        <v>522.6558</v>
      </c>
    </row>
    <row r="30" spans="1:3" x14ac:dyDescent="0.35">
      <c r="A30" s="5">
        <v>27</v>
      </c>
      <c r="B30" s="5">
        <v>551.22130000000004</v>
      </c>
      <c r="C30" s="5">
        <v>525.76089999999999</v>
      </c>
    </row>
    <row r="31" spans="1:3" x14ac:dyDescent="0.35">
      <c r="A31" s="12">
        <v>28</v>
      </c>
      <c r="B31" s="12">
        <v>545.29280000000006</v>
      </c>
      <c r="C31" s="12">
        <v>637.30960000000005</v>
      </c>
    </row>
    <row r="32" spans="1:3" x14ac:dyDescent="0.35">
      <c r="A32" s="5">
        <v>29</v>
      </c>
      <c r="B32" s="5">
        <v>460.24250000000001</v>
      </c>
      <c r="C32" s="5">
        <v>622.77660000000003</v>
      </c>
    </row>
    <row r="33" spans="1:3" x14ac:dyDescent="0.35">
      <c r="A33" s="12">
        <v>30</v>
      </c>
      <c r="B33" s="12">
        <v>462.1037</v>
      </c>
      <c r="C33" s="12">
        <v>634.77980000000002</v>
      </c>
    </row>
    <row r="34" spans="1:3" x14ac:dyDescent="0.35">
      <c r="A34" s="5">
        <v>31</v>
      </c>
      <c r="B34" s="5">
        <v>544.94809999999995</v>
      </c>
      <c r="C34" s="4"/>
    </row>
  </sheetData>
  <autoFilter ref="A3:C34" xr:uid="{00000000-0009-0000-0000-00000B000000}"/>
  <mergeCells count="2">
    <mergeCell ref="A1:C1"/>
    <mergeCell ref="A2:C2"/>
  </mergeCells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9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9" width="24" customWidth="1"/>
  </cols>
  <sheetData>
    <row r="1" spans="1:9" ht="28" customHeight="1" x14ac:dyDescent="0.35">
      <c r="A1" s="17" t="s">
        <v>333</v>
      </c>
      <c r="B1" s="17"/>
      <c r="C1" s="17"/>
      <c r="D1" s="17"/>
      <c r="E1" s="17"/>
      <c r="F1" s="17"/>
      <c r="G1" s="17"/>
      <c r="H1" s="17"/>
      <c r="I1" s="17"/>
    </row>
    <row r="2" spans="1:9" ht="52" customHeight="1" x14ac:dyDescent="0.35">
      <c r="A2" s="18" t="s">
        <v>334</v>
      </c>
      <c r="B2" s="18"/>
      <c r="C2" s="18"/>
      <c r="D2" s="18"/>
      <c r="E2" s="18"/>
      <c r="F2" s="18"/>
      <c r="G2" s="18"/>
      <c r="H2" s="18"/>
      <c r="I2" s="18"/>
    </row>
    <row r="3" spans="1:9" ht="48" customHeight="1" x14ac:dyDescent="0.35">
      <c r="A3" s="3" t="s">
        <v>132</v>
      </c>
      <c r="B3" s="3" t="s">
        <v>154</v>
      </c>
      <c r="C3" s="3" t="s">
        <v>335</v>
      </c>
      <c r="D3" s="3" t="s">
        <v>336</v>
      </c>
      <c r="E3" s="3" t="s">
        <v>26</v>
      </c>
      <c r="F3" s="3" t="s">
        <v>337</v>
      </c>
      <c r="G3" s="3" t="s">
        <v>338</v>
      </c>
      <c r="H3" s="3" t="s">
        <v>339</v>
      </c>
      <c r="I3" s="3" t="s">
        <v>4</v>
      </c>
    </row>
    <row r="4" spans="1:9" x14ac:dyDescent="0.35">
      <c r="A4" s="4" t="s">
        <v>133</v>
      </c>
      <c r="B4" s="4" t="s">
        <v>159</v>
      </c>
      <c r="C4" s="5">
        <v>8573.2159000000011</v>
      </c>
      <c r="D4" s="5">
        <v>1569.0330959999999</v>
      </c>
      <c r="E4" s="10">
        <f>C4+D4</f>
        <v>10142.248996</v>
      </c>
      <c r="F4" s="5">
        <v>9664.9979999999996</v>
      </c>
      <c r="G4" s="9">
        <f t="shared" ref="G4:G9" si="0">(E4/31)/(F4/30)-1</f>
        <v>1.5528370885166121E-2</v>
      </c>
      <c r="H4" s="4"/>
      <c r="I4" s="4"/>
    </row>
    <row r="5" spans="1:9" x14ac:dyDescent="0.35">
      <c r="A5" s="2" t="s">
        <v>134</v>
      </c>
      <c r="B5" s="2" t="s">
        <v>162</v>
      </c>
      <c r="C5" s="12">
        <v>4829.1013000000003</v>
      </c>
      <c r="D5" s="12">
        <v>878.81056400000011</v>
      </c>
      <c r="E5" s="8">
        <f>C5+D5</f>
        <v>5707.9118640000006</v>
      </c>
      <c r="F5" s="12">
        <v>5295.8909000000003</v>
      </c>
      <c r="G5" s="11">
        <f t="shared" si="0"/>
        <v>4.3032377203750638E-2</v>
      </c>
      <c r="H5" s="2"/>
      <c r="I5" s="2"/>
    </row>
    <row r="6" spans="1:9" x14ac:dyDescent="0.35">
      <c r="A6" s="4" t="s">
        <v>135</v>
      </c>
      <c r="B6" s="4" t="s">
        <v>164</v>
      </c>
      <c r="C6" s="5">
        <v>1640.7570000000001</v>
      </c>
      <c r="D6" s="5">
        <v>296.65674799999999</v>
      </c>
      <c r="E6" s="10">
        <f>C6+D6</f>
        <v>1937.4137479999999</v>
      </c>
      <c r="F6" s="5">
        <v>1717.7836</v>
      </c>
      <c r="G6" s="9">
        <f t="shared" si="0"/>
        <v>9.147422895560342E-2</v>
      </c>
      <c r="H6" s="4"/>
      <c r="I6" s="4"/>
    </row>
    <row r="7" spans="1:9" x14ac:dyDescent="0.35">
      <c r="A7" s="2" t="s">
        <v>136</v>
      </c>
      <c r="B7" s="2" t="s">
        <v>166</v>
      </c>
      <c r="C7" s="12">
        <v>304.2</v>
      </c>
      <c r="D7" s="12">
        <v>54.989999999999988</v>
      </c>
      <c r="E7" s="8">
        <f>C7+D7</f>
        <v>359.19</v>
      </c>
      <c r="F7" s="12">
        <v>351</v>
      </c>
      <c r="G7" s="11">
        <f t="shared" si="0"/>
        <v>-9.6774193548386789E-3</v>
      </c>
      <c r="H7" s="2"/>
      <c r="I7" s="2"/>
    </row>
    <row r="8" spans="1:9" x14ac:dyDescent="0.35">
      <c r="A8" s="4" t="s">
        <v>133</v>
      </c>
      <c r="B8" s="4" t="s">
        <v>168</v>
      </c>
      <c r="C8" s="5">
        <v>278.43400000000003</v>
      </c>
      <c r="D8" s="5">
        <v>50.332299999999996</v>
      </c>
      <c r="E8" s="10">
        <f>C8+D8</f>
        <v>328.7663</v>
      </c>
      <c r="F8" s="5">
        <v>321.27</v>
      </c>
      <c r="G8" s="9">
        <f t="shared" si="0"/>
        <v>-9.6774193548386789E-3</v>
      </c>
      <c r="H8" s="4"/>
      <c r="I8" s="4"/>
    </row>
    <row r="9" spans="1:9" x14ac:dyDescent="0.35">
      <c r="A9" s="2" t="s">
        <v>186</v>
      </c>
      <c r="B9" s="2" t="s">
        <v>340</v>
      </c>
      <c r="C9" s="8">
        <f>SUM(C4:C8)</f>
        <v>15625.708200000001</v>
      </c>
      <c r="D9" s="8">
        <f>SUM(D4:D8)</f>
        <v>2849.8227079999997</v>
      </c>
      <c r="E9" s="8">
        <f>SUM(E4:E8)</f>
        <v>18475.530907999997</v>
      </c>
      <c r="F9" s="8">
        <f>SUM(F4:F8)</f>
        <v>17350.942500000001</v>
      </c>
      <c r="G9" s="11">
        <f t="shared" si="0"/>
        <v>3.0465407858967675E-2</v>
      </c>
      <c r="H9" s="8">
        <f>SUM(H4:H8)</f>
        <v>0</v>
      </c>
      <c r="I9" s="2" t="s">
        <v>341</v>
      </c>
    </row>
  </sheetData>
  <autoFilter ref="A3:I9" xr:uid="{00000000-0009-0000-0000-00000C000000}"/>
  <mergeCells count="2">
    <mergeCell ref="A1:I1"/>
    <mergeCell ref="A2:I2"/>
  </mergeCells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8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3" width="24" customWidth="1"/>
  </cols>
  <sheetData>
    <row r="1" spans="1:3" ht="28" customHeight="1" x14ac:dyDescent="0.35">
      <c r="A1" s="17" t="s">
        <v>342</v>
      </c>
      <c r="B1" s="17"/>
      <c r="C1" s="17"/>
    </row>
    <row r="2" spans="1:3" ht="52" customHeight="1" x14ac:dyDescent="0.35">
      <c r="A2" s="18" t="s">
        <v>343</v>
      </c>
      <c r="B2" s="18"/>
      <c r="C2" s="18"/>
    </row>
    <row r="3" spans="1:3" ht="48" customHeight="1" x14ac:dyDescent="0.35">
      <c r="A3" s="3" t="s">
        <v>344</v>
      </c>
      <c r="B3" s="3" t="s">
        <v>2</v>
      </c>
      <c r="C3" s="3" t="s">
        <v>345</v>
      </c>
    </row>
    <row r="4" spans="1:3" x14ac:dyDescent="0.35">
      <c r="A4" s="4" t="s">
        <v>346</v>
      </c>
      <c r="B4" s="4" t="s">
        <v>142</v>
      </c>
      <c r="C4" s="5">
        <v>5371.8339999999998</v>
      </c>
    </row>
    <row r="5" spans="1:3" x14ac:dyDescent="0.35">
      <c r="A5" s="2" t="s">
        <v>346</v>
      </c>
      <c r="B5" s="2" t="s">
        <v>145</v>
      </c>
      <c r="C5" s="12">
        <v>2822.6995999999999</v>
      </c>
    </row>
    <row r="6" spans="1:3" x14ac:dyDescent="0.35">
      <c r="A6" s="4" t="s">
        <v>346</v>
      </c>
      <c r="B6" s="4" t="s">
        <v>146</v>
      </c>
      <c r="C6" s="5">
        <v>2613.0239999999999</v>
      </c>
    </row>
    <row r="7" spans="1:3" ht="25" x14ac:dyDescent="0.35">
      <c r="A7" s="2" t="s">
        <v>346</v>
      </c>
      <c r="B7" s="2" t="s">
        <v>140</v>
      </c>
      <c r="C7" s="12">
        <v>1817.7</v>
      </c>
    </row>
    <row r="8" spans="1:3" x14ac:dyDescent="0.35">
      <c r="A8" s="4" t="s">
        <v>346</v>
      </c>
      <c r="B8" s="4" t="s">
        <v>144</v>
      </c>
      <c r="C8" s="5">
        <v>1539</v>
      </c>
    </row>
    <row r="9" spans="1:3" x14ac:dyDescent="0.35">
      <c r="A9" s="2" t="s">
        <v>346</v>
      </c>
      <c r="B9" s="2" t="s">
        <v>141</v>
      </c>
      <c r="C9" s="12">
        <v>1187.5338999999999</v>
      </c>
    </row>
    <row r="10" spans="1:3" x14ac:dyDescent="0.35">
      <c r="A10" s="4" t="s">
        <v>346</v>
      </c>
      <c r="B10" s="4" t="s">
        <v>143</v>
      </c>
      <c r="C10" s="5">
        <v>799.15100000000007</v>
      </c>
    </row>
    <row r="11" spans="1:3" x14ac:dyDescent="0.35">
      <c r="A11" s="2" t="s">
        <v>346</v>
      </c>
      <c r="B11" s="2" t="s">
        <v>147</v>
      </c>
      <c r="C11" s="12">
        <v>396</v>
      </c>
    </row>
    <row r="12" spans="1:3" x14ac:dyDescent="0.35">
      <c r="A12" s="4" t="s">
        <v>346</v>
      </c>
      <c r="B12" s="4" t="s">
        <v>148</v>
      </c>
      <c r="C12" s="5">
        <v>354</v>
      </c>
    </row>
    <row r="13" spans="1:3" x14ac:dyDescent="0.35">
      <c r="A13" s="2" t="s">
        <v>346</v>
      </c>
      <c r="B13" s="2" t="s">
        <v>149</v>
      </c>
      <c r="C13" s="12">
        <v>351</v>
      </c>
    </row>
    <row r="14" spans="1:3" x14ac:dyDescent="0.35">
      <c r="A14" s="4" t="s">
        <v>346</v>
      </c>
      <c r="B14" s="4" t="s">
        <v>176</v>
      </c>
      <c r="C14" s="5">
        <v>72</v>
      </c>
    </row>
    <row r="15" spans="1:3" x14ac:dyDescent="0.35">
      <c r="A15" s="2" t="s">
        <v>346</v>
      </c>
      <c r="B15" s="2" t="s">
        <v>177</v>
      </c>
      <c r="C15" s="12">
        <v>27</v>
      </c>
    </row>
    <row r="16" spans="1:3" x14ac:dyDescent="0.35">
      <c r="A16" s="4" t="s">
        <v>347</v>
      </c>
      <c r="B16" s="4" t="s">
        <v>348</v>
      </c>
      <c r="C16" s="5">
        <v>17350.942500000001</v>
      </c>
    </row>
    <row r="17" spans="1:3" x14ac:dyDescent="0.35">
      <c r="A17" s="2" t="s">
        <v>349</v>
      </c>
      <c r="B17" s="2" t="s">
        <v>350</v>
      </c>
      <c r="C17" s="12">
        <v>2357.2800000000002</v>
      </c>
    </row>
    <row r="18" spans="1:3" x14ac:dyDescent="0.35">
      <c r="A18" s="4" t="s">
        <v>349</v>
      </c>
      <c r="B18" s="4" t="s">
        <v>351</v>
      </c>
      <c r="C18" s="5">
        <v>214.28</v>
      </c>
    </row>
  </sheetData>
  <autoFilter ref="A3:C18" xr:uid="{00000000-0009-0000-0000-00000D000000}"/>
  <mergeCells count="2">
    <mergeCell ref="A1:C1"/>
    <mergeCell ref="A2:C2"/>
  </mergeCells>
  <pageMargins left="0.75" right="0.75" top="1" bottom="1" header="0.5" footer="0.5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9" width="24" customWidth="1"/>
  </cols>
  <sheetData>
    <row r="1" spans="1:9" ht="28" customHeight="1" x14ac:dyDescent="0.35">
      <c r="A1" s="17" t="s">
        <v>352</v>
      </c>
      <c r="B1" s="17"/>
      <c r="C1" s="17"/>
      <c r="D1" s="17"/>
      <c r="E1" s="17"/>
      <c r="F1" s="17"/>
      <c r="G1" s="17"/>
      <c r="H1" s="17"/>
      <c r="I1" s="17"/>
    </row>
    <row r="2" spans="1:9" ht="52" customHeight="1" x14ac:dyDescent="0.35">
      <c r="A2" s="18" t="s">
        <v>353</v>
      </c>
      <c r="B2" s="18"/>
      <c r="C2" s="18"/>
      <c r="D2" s="18"/>
      <c r="E2" s="18"/>
      <c r="F2" s="18"/>
      <c r="G2" s="18"/>
      <c r="H2" s="18"/>
      <c r="I2" s="18"/>
    </row>
    <row r="3" spans="1:9" ht="48" customHeight="1" x14ac:dyDescent="0.35">
      <c r="A3" s="3" t="s">
        <v>344</v>
      </c>
      <c r="B3" s="3" t="s">
        <v>354</v>
      </c>
      <c r="C3" s="3" t="s">
        <v>355</v>
      </c>
      <c r="D3" s="3" t="s">
        <v>356</v>
      </c>
      <c r="E3" s="3" t="s">
        <v>357</v>
      </c>
      <c r="F3" s="3" t="s">
        <v>358</v>
      </c>
      <c r="G3" s="3" t="s">
        <v>359</v>
      </c>
      <c r="H3" s="3" t="s">
        <v>360</v>
      </c>
      <c r="I3" s="3" t="s">
        <v>361</v>
      </c>
    </row>
    <row r="4" spans="1:9" x14ac:dyDescent="0.35">
      <c r="A4" s="4" t="s">
        <v>362</v>
      </c>
      <c r="B4" s="4" t="s">
        <v>363</v>
      </c>
      <c r="C4" s="4" t="s">
        <v>364</v>
      </c>
      <c r="D4" s="4" t="s">
        <v>365</v>
      </c>
      <c r="E4" s="4" t="s">
        <v>366</v>
      </c>
      <c r="F4" s="5">
        <v>99</v>
      </c>
      <c r="G4" s="5">
        <v>98.5</v>
      </c>
      <c r="H4" s="4" t="s">
        <v>367</v>
      </c>
      <c r="I4" s="4" t="s">
        <v>368</v>
      </c>
    </row>
    <row r="5" spans="1:9" x14ac:dyDescent="0.35">
      <c r="A5" s="2" t="s">
        <v>362</v>
      </c>
      <c r="B5" s="2" t="s">
        <v>369</v>
      </c>
      <c r="C5" s="2" t="s">
        <v>370</v>
      </c>
      <c r="D5" s="2" t="s">
        <v>371</v>
      </c>
      <c r="E5" s="2" t="s">
        <v>366</v>
      </c>
      <c r="F5" s="12">
        <v>0</v>
      </c>
      <c r="G5" s="12">
        <v>0</v>
      </c>
      <c r="H5" s="2" t="s">
        <v>372</v>
      </c>
      <c r="I5" s="2" t="s">
        <v>373</v>
      </c>
    </row>
    <row r="6" spans="1:9" ht="25" x14ac:dyDescent="0.35">
      <c r="A6" s="4" t="s">
        <v>374</v>
      </c>
      <c r="B6" s="4" t="s">
        <v>375</v>
      </c>
      <c r="C6" s="4" t="s">
        <v>376</v>
      </c>
      <c r="D6" s="4" t="s">
        <v>371</v>
      </c>
      <c r="E6" s="4" t="s">
        <v>366</v>
      </c>
      <c r="F6" s="5">
        <v>99.6</v>
      </c>
      <c r="G6" s="5">
        <v>99.2</v>
      </c>
      <c r="H6" s="4" t="s">
        <v>377</v>
      </c>
      <c r="I6" s="4" t="s">
        <v>378</v>
      </c>
    </row>
  </sheetData>
  <autoFilter ref="A3:I6" xr:uid="{00000000-0009-0000-0000-00000E000000}"/>
  <mergeCells count="2">
    <mergeCell ref="A1:I1"/>
    <mergeCell ref="A2:I2"/>
  </mergeCells>
  <pageMargins left="0.75" right="0.75" top="1" bottom="1" header="0.5" footer="0.5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10" width="24" customWidth="1"/>
  </cols>
  <sheetData>
    <row r="1" spans="1:10" ht="28" customHeight="1" x14ac:dyDescent="0.35">
      <c r="A1" s="17" t="s">
        <v>379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52" customHeight="1" x14ac:dyDescent="0.35">
      <c r="A2" s="18" t="s">
        <v>380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48" customHeight="1" x14ac:dyDescent="0.35">
      <c r="A3" s="3" t="s">
        <v>381</v>
      </c>
      <c r="B3" s="3" t="s">
        <v>154</v>
      </c>
      <c r="C3" s="3" t="s">
        <v>382</v>
      </c>
      <c r="D3" s="3" t="s">
        <v>383</v>
      </c>
      <c r="E3" s="3" t="s">
        <v>150</v>
      </c>
      <c r="F3" s="3" t="s">
        <v>357</v>
      </c>
      <c r="G3" s="3" t="s">
        <v>384</v>
      </c>
      <c r="H3" s="3" t="s">
        <v>385</v>
      </c>
      <c r="I3" s="3" t="s">
        <v>386</v>
      </c>
      <c r="J3" s="3" t="s">
        <v>387</v>
      </c>
    </row>
    <row r="4" spans="1:10" x14ac:dyDescent="0.35">
      <c r="A4" s="4" t="s">
        <v>362</v>
      </c>
      <c r="B4" s="4" t="s">
        <v>164</v>
      </c>
      <c r="C4" s="4" t="s">
        <v>388</v>
      </c>
      <c r="D4" s="4" t="s">
        <v>364</v>
      </c>
      <c r="E4" s="4" t="s">
        <v>389</v>
      </c>
      <c r="F4" s="4" t="s">
        <v>366</v>
      </c>
      <c r="G4" s="5">
        <v>2</v>
      </c>
      <c r="H4" s="5">
        <v>357.12</v>
      </c>
      <c r="I4" s="5">
        <v>228.5</v>
      </c>
      <c r="J4" s="5">
        <v>128.62</v>
      </c>
    </row>
    <row r="5" spans="1:10" x14ac:dyDescent="0.35">
      <c r="A5" s="2" t="s">
        <v>362</v>
      </c>
      <c r="B5" s="2" t="s">
        <v>164</v>
      </c>
      <c r="C5" s="2" t="s">
        <v>388</v>
      </c>
      <c r="D5" s="2" t="s">
        <v>364</v>
      </c>
      <c r="E5" s="2" t="s">
        <v>389</v>
      </c>
      <c r="F5" s="2" t="s">
        <v>390</v>
      </c>
      <c r="G5" s="12">
        <v>2</v>
      </c>
      <c r="H5" s="12">
        <v>357.12</v>
      </c>
      <c r="I5" s="12">
        <v>146.4</v>
      </c>
      <c r="J5" s="12">
        <v>210.72</v>
      </c>
    </row>
    <row r="6" spans="1:10" x14ac:dyDescent="0.35">
      <c r="A6" s="4" t="s">
        <v>374</v>
      </c>
      <c r="B6" s="4" t="s">
        <v>159</v>
      </c>
      <c r="C6" s="4" t="s">
        <v>391</v>
      </c>
      <c r="D6" s="4" t="s">
        <v>392</v>
      </c>
      <c r="E6" s="4"/>
      <c r="F6" s="4" t="s">
        <v>366</v>
      </c>
      <c r="G6" s="5">
        <v>0.95</v>
      </c>
      <c r="H6" s="5">
        <v>1062</v>
      </c>
      <c r="I6" s="5">
        <v>873.4</v>
      </c>
      <c r="J6" s="5">
        <v>188.6</v>
      </c>
    </row>
  </sheetData>
  <autoFilter ref="A3:J6" xr:uid="{00000000-0009-0000-0000-00000F000000}"/>
  <mergeCells count="2">
    <mergeCell ref="A1:J1"/>
    <mergeCell ref="A2:J2"/>
  </mergeCells>
  <pageMargins left="0.75" right="0.75" top="1" bottom="1" header="0.5" footer="0.5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2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2" width="60" customWidth="1"/>
    <col min="3" max="3" width="85" customWidth="1"/>
    <col min="4" max="4" width="100" customWidth="1"/>
    <col min="5" max="7" width="24" customWidth="1"/>
    <col min="8" max="8" width="65" customWidth="1"/>
    <col min="9" max="12" width="24" customWidth="1"/>
  </cols>
  <sheetData>
    <row r="1" spans="1:12" ht="28" customHeight="1" x14ac:dyDescent="0.35">
      <c r="A1" s="17" t="s">
        <v>393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52" customHeight="1" x14ac:dyDescent="0.35">
      <c r="A2" s="18" t="s">
        <v>394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48" customHeight="1" x14ac:dyDescent="0.35">
      <c r="A3" s="3" t="s">
        <v>344</v>
      </c>
      <c r="B3" s="3" t="s">
        <v>356</v>
      </c>
      <c r="C3" s="3" t="s">
        <v>395</v>
      </c>
      <c r="D3" s="3" t="s">
        <v>396</v>
      </c>
      <c r="E3" s="3" t="s">
        <v>397</v>
      </c>
      <c r="F3" s="3" t="s">
        <v>398</v>
      </c>
      <c r="G3" s="3" t="s">
        <v>399</v>
      </c>
      <c r="H3" s="3" t="s">
        <v>400</v>
      </c>
      <c r="I3" s="3" t="s">
        <v>401</v>
      </c>
      <c r="J3" s="3" t="s">
        <v>402</v>
      </c>
      <c r="K3" s="3" t="s">
        <v>403</v>
      </c>
      <c r="L3" s="3" t="s">
        <v>404</v>
      </c>
    </row>
    <row r="4" spans="1:12" ht="85" customHeight="1" x14ac:dyDescent="0.35">
      <c r="A4" s="4" t="s">
        <v>405</v>
      </c>
      <c r="B4" s="4" t="s">
        <v>406</v>
      </c>
      <c r="C4" s="4" t="s">
        <v>407</v>
      </c>
      <c r="D4" s="4" t="s">
        <v>408</v>
      </c>
      <c r="E4" s="4"/>
      <c r="F4" s="4" t="s">
        <v>409</v>
      </c>
      <c r="G4" s="4" t="s">
        <v>410</v>
      </c>
      <c r="H4" s="4" t="s">
        <v>411</v>
      </c>
      <c r="I4" s="4"/>
      <c r="J4" s="4"/>
      <c r="K4" s="4"/>
      <c r="L4" s="4"/>
    </row>
    <row r="5" spans="1:12" ht="85" customHeight="1" x14ac:dyDescent="0.35">
      <c r="A5" s="2" t="s">
        <v>405</v>
      </c>
      <c r="B5" s="2" t="s">
        <v>412</v>
      </c>
      <c r="C5" s="2" t="s">
        <v>413</v>
      </c>
      <c r="D5" s="2" t="s">
        <v>414</v>
      </c>
      <c r="E5" s="2"/>
      <c r="F5" s="2" t="s">
        <v>409</v>
      </c>
      <c r="G5" s="2" t="s">
        <v>410</v>
      </c>
      <c r="H5" s="2" t="s">
        <v>411</v>
      </c>
      <c r="I5" s="2"/>
      <c r="J5" s="2"/>
      <c r="K5" s="2"/>
      <c r="L5" s="2"/>
    </row>
    <row r="6" spans="1:12" ht="85" customHeight="1" x14ac:dyDescent="0.35">
      <c r="A6" s="4" t="s">
        <v>405</v>
      </c>
      <c r="B6" s="4" t="s">
        <v>415</v>
      </c>
      <c r="C6" s="4" t="s">
        <v>416</v>
      </c>
      <c r="D6" s="4" t="s">
        <v>417</v>
      </c>
      <c r="E6" s="4"/>
      <c r="F6" s="4" t="s">
        <v>409</v>
      </c>
      <c r="G6" s="4" t="s">
        <v>410</v>
      </c>
      <c r="H6" s="4" t="s">
        <v>411</v>
      </c>
      <c r="I6" s="4"/>
      <c r="J6" s="4"/>
      <c r="K6" s="4"/>
      <c r="L6" s="4"/>
    </row>
    <row r="7" spans="1:12" ht="85" customHeight="1" x14ac:dyDescent="0.35">
      <c r="A7" s="2" t="s">
        <v>405</v>
      </c>
      <c r="B7" s="2" t="s">
        <v>418</v>
      </c>
      <c r="C7" s="2" t="s">
        <v>419</v>
      </c>
      <c r="D7" s="2" t="s">
        <v>420</v>
      </c>
      <c r="E7" s="2"/>
      <c r="F7" s="2" t="s">
        <v>409</v>
      </c>
      <c r="G7" s="2" t="s">
        <v>410</v>
      </c>
      <c r="H7" s="2" t="s">
        <v>411</v>
      </c>
      <c r="I7" s="2"/>
      <c r="J7" s="2"/>
      <c r="K7" s="2"/>
      <c r="L7" s="2"/>
    </row>
    <row r="8" spans="1:12" ht="85" customHeight="1" x14ac:dyDescent="0.35">
      <c r="A8" s="4" t="s">
        <v>421</v>
      </c>
      <c r="B8" s="4" t="s">
        <v>422</v>
      </c>
      <c r="C8" s="4" t="s">
        <v>423</v>
      </c>
      <c r="D8" s="4" t="s">
        <v>424</v>
      </c>
      <c r="E8" s="5">
        <v>760.51400000000001</v>
      </c>
      <c r="F8" s="4" t="s">
        <v>425</v>
      </c>
      <c r="G8" s="4" t="s">
        <v>426</v>
      </c>
      <c r="H8" s="4" t="s">
        <v>427</v>
      </c>
      <c r="I8" s="4"/>
      <c r="J8" s="4"/>
      <c r="K8" s="4"/>
      <c r="L8" s="4"/>
    </row>
    <row r="9" spans="1:12" ht="85" customHeight="1" x14ac:dyDescent="0.35">
      <c r="A9" s="2" t="s">
        <v>428</v>
      </c>
      <c r="B9" s="2" t="s">
        <v>429</v>
      </c>
      <c r="C9" s="2" t="s">
        <v>430</v>
      </c>
      <c r="D9" s="2" t="s">
        <v>431</v>
      </c>
      <c r="E9" s="2"/>
      <c r="F9" s="2" t="s">
        <v>432</v>
      </c>
      <c r="G9" s="2" t="s">
        <v>433</v>
      </c>
      <c r="H9" s="2" t="s">
        <v>434</v>
      </c>
      <c r="I9" s="2"/>
      <c r="J9" s="2"/>
      <c r="K9" s="2"/>
      <c r="L9" s="2"/>
    </row>
    <row r="10" spans="1:12" ht="85" customHeight="1" x14ac:dyDescent="0.35">
      <c r="A10" s="4" t="s">
        <v>435</v>
      </c>
      <c r="B10" s="4" t="s">
        <v>436</v>
      </c>
      <c r="C10" s="4" t="s">
        <v>437</v>
      </c>
      <c r="D10" s="4" t="s">
        <v>438</v>
      </c>
      <c r="E10" s="4"/>
      <c r="F10" s="4" t="s">
        <v>439</v>
      </c>
      <c r="G10" s="4" t="s">
        <v>440</v>
      </c>
      <c r="H10" s="4" t="s">
        <v>441</v>
      </c>
      <c r="I10" s="4"/>
      <c r="J10" s="4"/>
      <c r="K10" s="4"/>
      <c r="L10" s="4"/>
    </row>
    <row r="11" spans="1:12" ht="85" customHeight="1" x14ac:dyDescent="0.35">
      <c r="A11" s="2" t="s">
        <v>442</v>
      </c>
      <c r="B11" s="2" t="s">
        <v>443</v>
      </c>
      <c r="C11" s="2" t="s">
        <v>444</v>
      </c>
      <c r="D11" s="2" t="s">
        <v>445</v>
      </c>
      <c r="E11" s="2"/>
      <c r="F11" s="2" t="s">
        <v>446</v>
      </c>
      <c r="G11" s="2" t="s">
        <v>410</v>
      </c>
      <c r="H11" s="2" t="s">
        <v>447</v>
      </c>
      <c r="I11" s="2"/>
      <c r="J11" s="2"/>
      <c r="K11" s="2"/>
      <c r="L11" s="2"/>
    </row>
    <row r="12" spans="1:12" ht="85" customHeight="1" x14ac:dyDescent="0.35">
      <c r="A12" s="4" t="s">
        <v>448</v>
      </c>
      <c r="B12" s="4" t="s">
        <v>449</v>
      </c>
      <c r="C12" s="4" t="s">
        <v>450</v>
      </c>
      <c r="D12" s="4" t="s">
        <v>451</v>
      </c>
      <c r="E12" s="4"/>
      <c r="F12" s="4" t="s">
        <v>452</v>
      </c>
      <c r="G12" s="4" t="s">
        <v>453</v>
      </c>
      <c r="H12" s="4" t="s">
        <v>454</v>
      </c>
      <c r="I12" s="4"/>
      <c r="J12" s="4"/>
      <c r="K12" s="4"/>
      <c r="L12" s="4"/>
    </row>
  </sheetData>
  <autoFilter ref="A3:L12" xr:uid="{00000000-0009-0000-0000-000010000000}"/>
  <mergeCells count="2">
    <mergeCell ref="A2:L2"/>
    <mergeCell ref="A1:L1"/>
  </mergeCells>
  <pageMargins left="0.75" right="0.75" top="1" bottom="1" header="0.5" footer="0.5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9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12" width="24" customWidth="1"/>
    <col min="13" max="13" width="80" customWidth="1"/>
  </cols>
  <sheetData>
    <row r="1" spans="1:13" ht="28" customHeight="1" x14ac:dyDescent="0.35">
      <c r="A1" s="17" t="s">
        <v>455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52" customHeight="1" x14ac:dyDescent="0.35">
      <c r="A2" s="18" t="s">
        <v>456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48" customHeight="1" x14ac:dyDescent="0.35">
      <c r="A3" s="3" t="s">
        <v>154</v>
      </c>
      <c r="B3" s="3" t="s">
        <v>244</v>
      </c>
      <c r="C3" s="3" t="s">
        <v>354</v>
      </c>
      <c r="D3" s="3" t="s">
        <v>381</v>
      </c>
      <c r="E3" s="3" t="s">
        <v>383</v>
      </c>
      <c r="F3" s="3" t="s">
        <v>150</v>
      </c>
      <c r="G3" s="3" t="s">
        <v>457</v>
      </c>
      <c r="H3" s="3" t="s">
        <v>458</v>
      </c>
      <c r="I3" s="3" t="s">
        <v>459</v>
      </c>
      <c r="J3" s="3" t="s">
        <v>460</v>
      </c>
      <c r="K3" s="3" t="s">
        <v>461</v>
      </c>
      <c r="L3" s="3" t="s">
        <v>462</v>
      </c>
      <c r="M3" s="3" t="s">
        <v>4</v>
      </c>
    </row>
    <row r="4" spans="1:13" x14ac:dyDescent="0.35">
      <c r="A4" s="4" t="s">
        <v>162</v>
      </c>
      <c r="B4" s="4" t="s">
        <v>245</v>
      </c>
      <c r="C4" s="4" t="s">
        <v>260</v>
      </c>
      <c r="D4" s="4" t="s">
        <v>463</v>
      </c>
      <c r="E4" s="4" t="s">
        <v>464</v>
      </c>
      <c r="F4" s="4" t="s">
        <v>465</v>
      </c>
      <c r="G4" s="5">
        <v>1245</v>
      </c>
      <c r="H4" s="5">
        <v>41</v>
      </c>
      <c r="I4" s="5">
        <v>58.3</v>
      </c>
      <c r="J4" s="4"/>
      <c r="K4" s="5">
        <v>71</v>
      </c>
      <c r="L4" s="15">
        <v>30</v>
      </c>
      <c r="M4" s="4"/>
    </row>
    <row r="5" spans="1:13" x14ac:dyDescent="0.35">
      <c r="A5" s="2" t="s">
        <v>164</v>
      </c>
      <c r="B5" s="2" t="s">
        <v>246</v>
      </c>
      <c r="C5" s="2" t="s">
        <v>266</v>
      </c>
      <c r="D5" s="2" t="s">
        <v>466</v>
      </c>
      <c r="E5" s="2" t="s">
        <v>467</v>
      </c>
      <c r="F5" s="2" t="s">
        <v>389</v>
      </c>
      <c r="G5" s="12">
        <v>708</v>
      </c>
      <c r="H5" s="12">
        <v>9.4</v>
      </c>
      <c r="I5" s="12">
        <v>16.8</v>
      </c>
      <c r="J5" s="2"/>
      <c r="K5" s="12">
        <v>21</v>
      </c>
      <c r="L5" s="16">
        <v>30</v>
      </c>
      <c r="M5" s="2" t="s">
        <v>468</v>
      </c>
    </row>
    <row r="6" spans="1:13" x14ac:dyDescent="0.35">
      <c r="A6" s="4" t="s">
        <v>159</v>
      </c>
      <c r="B6" s="4" t="s">
        <v>247</v>
      </c>
      <c r="C6" s="4" t="s">
        <v>264</v>
      </c>
      <c r="D6" s="4" t="s">
        <v>466</v>
      </c>
      <c r="E6" s="4" t="s">
        <v>467</v>
      </c>
      <c r="F6" s="4" t="s">
        <v>389</v>
      </c>
      <c r="G6" s="5">
        <v>708</v>
      </c>
      <c r="H6" s="5">
        <v>38.200000000000003</v>
      </c>
      <c r="I6" s="5">
        <v>61.5</v>
      </c>
      <c r="J6" s="4"/>
      <c r="K6" s="5">
        <v>44</v>
      </c>
      <c r="L6" s="15">
        <v>30</v>
      </c>
      <c r="M6" s="4"/>
    </row>
    <row r="7" spans="1:13" x14ac:dyDescent="0.35">
      <c r="A7" s="2" t="s">
        <v>164</v>
      </c>
      <c r="B7" s="2" t="s">
        <v>246</v>
      </c>
      <c r="C7" s="2" t="s">
        <v>268</v>
      </c>
      <c r="D7" s="2" t="s">
        <v>463</v>
      </c>
      <c r="E7" s="2" t="s">
        <v>469</v>
      </c>
      <c r="F7" s="2" t="s">
        <v>389</v>
      </c>
      <c r="G7" s="12">
        <v>572.70000000000005</v>
      </c>
      <c r="H7" s="12">
        <v>22.5</v>
      </c>
      <c r="I7" s="12">
        <v>35.1</v>
      </c>
      <c r="J7" s="2"/>
      <c r="K7" s="12">
        <v>12</v>
      </c>
      <c r="L7" s="16">
        <v>23</v>
      </c>
      <c r="M7" s="2" t="s">
        <v>470</v>
      </c>
    </row>
    <row r="8" spans="1:13" ht="25" x14ac:dyDescent="0.35">
      <c r="A8" s="4" t="s">
        <v>159</v>
      </c>
      <c r="B8" s="4" t="s">
        <v>247</v>
      </c>
      <c r="C8" s="4" t="s">
        <v>274</v>
      </c>
      <c r="D8" s="4" t="s">
        <v>471</v>
      </c>
      <c r="E8" s="4" t="s">
        <v>472</v>
      </c>
      <c r="F8" s="4" t="s">
        <v>389</v>
      </c>
      <c r="G8" s="5">
        <v>396</v>
      </c>
      <c r="H8" s="5">
        <v>7.9</v>
      </c>
      <c r="I8" s="5">
        <v>12</v>
      </c>
      <c r="J8" s="5">
        <v>0.71</v>
      </c>
      <c r="K8" s="4"/>
      <c r="L8" s="15">
        <v>30</v>
      </c>
      <c r="M8" s="4" t="s">
        <v>473</v>
      </c>
    </row>
    <row r="9" spans="1:13" x14ac:dyDescent="0.35">
      <c r="A9" s="2" t="s">
        <v>168</v>
      </c>
      <c r="B9" s="2" t="s">
        <v>248</v>
      </c>
      <c r="C9" s="2" t="s">
        <v>298</v>
      </c>
      <c r="D9" s="2" t="s">
        <v>466</v>
      </c>
      <c r="E9" s="2" t="s">
        <v>474</v>
      </c>
      <c r="F9" s="2" t="s">
        <v>389</v>
      </c>
      <c r="G9" s="12">
        <v>123</v>
      </c>
      <c r="H9" s="12">
        <v>4.0999999999999996</v>
      </c>
      <c r="I9" s="12">
        <v>12.3</v>
      </c>
      <c r="J9" s="2"/>
      <c r="K9" s="12">
        <v>8</v>
      </c>
      <c r="L9" s="16">
        <v>30</v>
      </c>
      <c r="M9" s="2" t="s">
        <v>468</v>
      </c>
    </row>
  </sheetData>
  <autoFilter ref="A3:M9" xr:uid="{00000000-0009-0000-0000-000011000000}"/>
  <mergeCells count="2">
    <mergeCell ref="A2:M2"/>
    <mergeCell ref="A1:M1"/>
  </mergeCells>
  <pageMargins left="0.75" right="0.75" top="1" bottom="1" header="0.5" footer="0.5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6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11" width="24" customWidth="1"/>
    <col min="12" max="12" width="80" customWidth="1"/>
    <col min="13" max="13" width="24" customWidth="1"/>
  </cols>
  <sheetData>
    <row r="1" spans="1:13" ht="28" customHeight="1" x14ac:dyDescent="0.35">
      <c r="A1" s="17" t="s">
        <v>475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52" customHeight="1" x14ac:dyDescent="0.35">
      <c r="A2" s="18" t="s">
        <v>476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48" customHeight="1" x14ac:dyDescent="0.35">
      <c r="A3" s="3" t="s">
        <v>154</v>
      </c>
      <c r="B3" s="3" t="s">
        <v>244</v>
      </c>
      <c r="C3" s="3" t="s">
        <v>477</v>
      </c>
      <c r="D3" s="3" t="s">
        <v>478</v>
      </c>
      <c r="E3" s="3" t="s">
        <v>479</v>
      </c>
      <c r="F3" s="3" t="s">
        <v>480</v>
      </c>
      <c r="G3" s="3" t="s">
        <v>481</v>
      </c>
      <c r="H3" s="3" t="s">
        <v>482</v>
      </c>
      <c r="I3" s="3" t="s">
        <v>483</v>
      </c>
      <c r="J3" s="3" t="s">
        <v>484</v>
      </c>
      <c r="K3" s="3" t="s">
        <v>485</v>
      </c>
      <c r="L3" s="3" t="s">
        <v>486</v>
      </c>
      <c r="M3" s="3" t="s">
        <v>457</v>
      </c>
    </row>
    <row r="4" spans="1:13" x14ac:dyDescent="0.35">
      <c r="A4" s="4" t="s">
        <v>162</v>
      </c>
      <c r="B4" s="4" t="s">
        <v>245</v>
      </c>
      <c r="C4" s="4" t="s">
        <v>270</v>
      </c>
      <c r="D4" s="4" t="s">
        <v>487</v>
      </c>
      <c r="E4" s="4" t="s">
        <v>488</v>
      </c>
      <c r="F4" s="5">
        <v>22340</v>
      </c>
      <c r="G4" s="5">
        <v>26400</v>
      </c>
      <c r="H4" s="5">
        <v>4060</v>
      </c>
      <c r="I4" s="5">
        <v>18.170000000000002</v>
      </c>
      <c r="J4" s="4" t="s">
        <v>489</v>
      </c>
      <c r="K4" s="5">
        <v>310</v>
      </c>
      <c r="L4" s="4" t="s">
        <v>490</v>
      </c>
      <c r="M4" s="5">
        <v>477.65</v>
      </c>
    </row>
    <row r="5" spans="1:13" x14ac:dyDescent="0.35">
      <c r="A5" s="2" t="s">
        <v>159</v>
      </c>
      <c r="B5" s="2" t="s">
        <v>247</v>
      </c>
      <c r="C5" s="2" t="s">
        <v>300</v>
      </c>
      <c r="D5" s="2" t="s">
        <v>487</v>
      </c>
      <c r="E5" s="2" t="s">
        <v>488</v>
      </c>
      <c r="F5" s="12">
        <v>4750</v>
      </c>
      <c r="G5" s="12">
        <v>5270</v>
      </c>
      <c r="H5" s="12">
        <v>520</v>
      </c>
      <c r="I5" s="12">
        <v>10.95</v>
      </c>
      <c r="J5" s="2" t="s">
        <v>491</v>
      </c>
      <c r="K5" s="12">
        <v>2400</v>
      </c>
      <c r="L5" s="2" t="s">
        <v>492</v>
      </c>
      <c r="M5" s="12">
        <v>98.37</v>
      </c>
    </row>
    <row r="6" spans="1:13" x14ac:dyDescent="0.35">
      <c r="A6" s="4" t="s">
        <v>164</v>
      </c>
      <c r="B6" s="4" t="s">
        <v>246</v>
      </c>
      <c r="C6" s="4" t="s">
        <v>326</v>
      </c>
      <c r="D6" s="4" t="s">
        <v>487</v>
      </c>
      <c r="E6" s="4" t="s">
        <v>488</v>
      </c>
      <c r="F6" s="5">
        <v>662</v>
      </c>
      <c r="G6" s="5">
        <v>720</v>
      </c>
      <c r="H6" s="5">
        <v>58</v>
      </c>
      <c r="I6" s="5">
        <v>8.76</v>
      </c>
      <c r="J6" s="4" t="s">
        <v>493</v>
      </c>
      <c r="K6" s="5">
        <v>12</v>
      </c>
      <c r="L6" s="4" t="s">
        <v>490</v>
      </c>
      <c r="M6" s="5">
        <v>13.54</v>
      </c>
    </row>
  </sheetData>
  <autoFilter ref="A3:M6" xr:uid="{00000000-0009-0000-0000-000012000000}"/>
  <mergeCells count="2">
    <mergeCell ref="A2:M2"/>
    <mergeCell ref="A1:M1"/>
  </mergeCells>
  <pageMargins left="0.75" right="0.75" top="1" bottom="1" header="0.5" footer="0.5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7" width="24" customWidth="1"/>
    <col min="8" max="8" width="80" customWidth="1"/>
  </cols>
  <sheetData>
    <row r="1" spans="1:8" ht="28" customHeight="1" x14ac:dyDescent="0.35">
      <c r="A1" s="17" t="s">
        <v>494</v>
      </c>
      <c r="B1" s="17"/>
      <c r="C1" s="17"/>
      <c r="D1" s="17"/>
      <c r="E1" s="17"/>
      <c r="F1" s="17"/>
      <c r="G1" s="17"/>
      <c r="H1" s="17"/>
    </row>
    <row r="2" spans="1:8" ht="52" customHeight="1" x14ac:dyDescent="0.35">
      <c r="A2" s="18" t="s">
        <v>495</v>
      </c>
      <c r="B2" s="18"/>
      <c r="C2" s="18"/>
      <c r="D2" s="18"/>
      <c r="E2" s="18"/>
      <c r="F2" s="18"/>
      <c r="G2" s="18"/>
      <c r="H2" s="18"/>
    </row>
    <row r="3" spans="1:8" ht="48" customHeight="1" x14ac:dyDescent="0.35">
      <c r="A3" s="3" t="s">
        <v>154</v>
      </c>
      <c r="B3" s="3" t="s">
        <v>496</v>
      </c>
      <c r="C3" s="3" t="s">
        <v>457</v>
      </c>
      <c r="D3" s="3" t="s">
        <v>497</v>
      </c>
      <c r="E3" s="3" t="s">
        <v>498</v>
      </c>
      <c r="F3" s="3" t="s">
        <v>499</v>
      </c>
      <c r="G3" s="3" t="s">
        <v>500</v>
      </c>
      <c r="H3" s="3" t="s">
        <v>501</v>
      </c>
    </row>
    <row r="4" spans="1:8" ht="25" x14ac:dyDescent="0.35">
      <c r="A4" s="4" t="s">
        <v>159</v>
      </c>
      <c r="B4" s="4" t="s">
        <v>254</v>
      </c>
      <c r="C4" s="5">
        <v>3556.31</v>
      </c>
      <c r="D4" s="5">
        <v>1290</v>
      </c>
      <c r="E4" s="4" t="s">
        <v>502</v>
      </c>
      <c r="F4" s="5">
        <v>30</v>
      </c>
      <c r="G4" s="4" t="s">
        <v>503</v>
      </c>
      <c r="H4" s="4" t="s">
        <v>504</v>
      </c>
    </row>
    <row r="5" spans="1:8" ht="25" x14ac:dyDescent="0.35">
      <c r="A5" s="2" t="s">
        <v>162</v>
      </c>
      <c r="B5" s="2" t="s">
        <v>258</v>
      </c>
      <c r="C5" s="12">
        <v>1815.53</v>
      </c>
      <c r="D5" s="12">
        <v>560</v>
      </c>
      <c r="E5" s="2" t="s">
        <v>505</v>
      </c>
      <c r="F5" s="12">
        <v>30</v>
      </c>
      <c r="G5" s="2" t="s">
        <v>503</v>
      </c>
      <c r="H5" s="2" t="s">
        <v>506</v>
      </c>
    </row>
  </sheetData>
  <autoFilter ref="A3:H5" xr:uid="{00000000-0009-0000-0000-000013000000}"/>
  <mergeCells count="2">
    <mergeCell ref="A2:H2"/>
    <mergeCell ref="A1:H1"/>
  </mergeCells>
  <pageMargins left="0.75" right="0.75" top="1" bottom="1" header="0.5" footer="0.5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9" width="24" customWidth="1"/>
  </cols>
  <sheetData>
    <row r="1" spans="1:9" ht="28" customHeight="1" x14ac:dyDescent="0.35">
      <c r="A1" s="17" t="s">
        <v>507</v>
      </c>
      <c r="B1" s="17"/>
      <c r="C1" s="17"/>
      <c r="D1" s="17"/>
      <c r="E1" s="17"/>
      <c r="F1" s="17"/>
      <c r="G1" s="17"/>
      <c r="H1" s="17"/>
      <c r="I1" s="17"/>
    </row>
    <row r="2" spans="1:9" ht="52" customHeight="1" x14ac:dyDescent="0.35">
      <c r="A2" s="18" t="s">
        <v>508</v>
      </c>
      <c r="B2" s="18"/>
      <c r="C2" s="18"/>
      <c r="D2" s="18"/>
      <c r="E2" s="18"/>
      <c r="F2" s="18"/>
      <c r="G2" s="18"/>
      <c r="H2" s="18"/>
      <c r="I2" s="18"/>
    </row>
    <row r="3" spans="1:9" ht="48" customHeight="1" x14ac:dyDescent="0.35">
      <c r="A3" s="3" t="s">
        <v>154</v>
      </c>
      <c r="B3" s="3" t="s">
        <v>509</v>
      </c>
      <c r="C3" s="3" t="s">
        <v>510</v>
      </c>
      <c r="D3" s="3" t="s">
        <v>511</v>
      </c>
      <c r="E3" s="3" t="s">
        <v>512</v>
      </c>
      <c r="F3" s="3" t="s">
        <v>513</v>
      </c>
      <c r="G3" s="3" t="s">
        <v>514</v>
      </c>
      <c r="H3" s="3" t="s">
        <v>515</v>
      </c>
      <c r="I3" s="3" t="s">
        <v>4</v>
      </c>
    </row>
    <row r="4" spans="1:9" x14ac:dyDescent="0.35">
      <c r="A4" s="4" t="s">
        <v>159</v>
      </c>
      <c r="B4" s="4" t="s">
        <v>516</v>
      </c>
      <c r="C4" s="5">
        <v>15000</v>
      </c>
      <c r="D4" s="4" t="s">
        <v>517</v>
      </c>
      <c r="E4" s="4" t="s">
        <v>518</v>
      </c>
      <c r="F4" s="4" t="s">
        <v>519</v>
      </c>
      <c r="G4" s="4" t="s">
        <v>520</v>
      </c>
      <c r="H4" s="5">
        <v>11840</v>
      </c>
      <c r="I4" s="4" t="s">
        <v>521</v>
      </c>
    </row>
  </sheetData>
  <autoFilter ref="A3:I4" xr:uid="{00000000-0009-0000-0000-000014000000}"/>
  <mergeCells count="2">
    <mergeCell ref="A1:I1"/>
    <mergeCell ref="A2:I2"/>
  </mergeCells>
  <pageMargins left="0.75" right="0.75" top="1" bottom="1" header="0.5" footer="0.5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9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2" width="85" customWidth="1"/>
  </cols>
  <sheetData>
    <row r="1" spans="1:2" ht="28" customHeight="1" x14ac:dyDescent="0.35">
      <c r="A1" s="17" t="s">
        <v>522</v>
      </c>
      <c r="B1" s="17"/>
    </row>
    <row r="2" spans="1:2" ht="52" customHeight="1" x14ac:dyDescent="0.35">
      <c r="A2" s="18" t="s">
        <v>523</v>
      </c>
      <c r="B2" s="18"/>
    </row>
    <row r="3" spans="1:2" ht="48" customHeight="1" x14ac:dyDescent="0.35">
      <c r="A3" s="3" t="s">
        <v>2</v>
      </c>
      <c r="B3" s="3" t="s">
        <v>4</v>
      </c>
    </row>
    <row r="4" spans="1:2" x14ac:dyDescent="0.35">
      <c r="A4" s="4" t="s">
        <v>524</v>
      </c>
      <c r="B4" s="4" t="s">
        <v>525</v>
      </c>
    </row>
    <row r="5" spans="1:2" x14ac:dyDescent="0.35">
      <c r="A5" s="2" t="s">
        <v>526</v>
      </c>
      <c r="B5" s="2" t="s">
        <v>525</v>
      </c>
    </row>
    <row r="6" spans="1:2" x14ac:dyDescent="0.35">
      <c r="A6" s="4" t="s">
        <v>527</v>
      </c>
      <c r="B6" s="4" t="s">
        <v>525</v>
      </c>
    </row>
    <row r="7" spans="1:2" x14ac:dyDescent="0.35">
      <c r="A7" s="2" t="s">
        <v>250</v>
      </c>
      <c r="B7" s="2" t="s">
        <v>525</v>
      </c>
    </row>
    <row r="8" spans="1:2" x14ac:dyDescent="0.35">
      <c r="A8" s="4" t="s">
        <v>528</v>
      </c>
      <c r="B8" s="4" t="s">
        <v>529</v>
      </c>
    </row>
    <row r="9" spans="1:2" ht="25" x14ac:dyDescent="0.35">
      <c r="A9" s="2" t="s">
        <v>530</v>
      </c>
      <c r="B9" s="2" t="s">
        <v>531</v>
      </c>
    </row>
    <row r="10" spans="1:2" x14ac:dyDescent="0.35">
      <c r="A10" s="4" t="s">
        <v>532</v>
      </c>
      <c r="B10" s="4" t="s">
        <v>533</v>
      </c>
    </row>
    <row r="11" spans="1:2" x14ac:dyDescent="0.35">
      <c r="A11" s="2" t="s">
        <v>534</v>
      </c>
      <c r="B11" s="2" t="s">
        <v>535</v>
      </c>
    </row>
    <row r="12" spans="1:2" x14ac:dyDescent="0.35">
      <c r="A12" s="4" t="s">
        <v>536</v>
      </c>
      <c r="B12" s="4" t="s">
        <v>537</v>
      </c>
    </row>
    <row r="13" spans="1:2" x14ac:dyDescent="0.35">
      <c r="A13" s="2" t="s">
        <v>538</v>
      </c>
      <c r="B13" s="2" t="s">
        <v>539</v>
      </c>
    </row>
    <row r="14" spans="1:2" x14ac:dyDescent="0.35">
      <c r="A14" s="4" t="s">
        <v>540</v>
      </c>
      <c r="B14" s="4" t="s">
        <v>541</v>
      </c>
    </row>
    <row r="15" spans="1:2" x14ac:dyDescent="0.35">
      <c r="A15" s="2" t="s">
        <v>542</v>
      </c>
      <c r="B15" s="2" t="s">
        <v>543</v>
      </c>
    </row>
    <row r="16" spans="1:2" x14ac:dyDescent="0.35">
      <c r="A16" s="4" t="s">
        <v>544</v>
      </c>
      <c r="B16" s="4" t="s">
        <v>545</v>
      </c>
    </row>
    <row r="17" spans="1:2" x14ac:dyDescent="0.35">
      <c r="A17" s="2" t="s">
        <v>546</v>
      </c>
      <c r="B17" s="2" t="s">
        <v>547</v>
      </c>
    </row>
    <row r="18" spans="1:2" ht="25" x14ac:dyDescent="0.35">
      <c r="A18" s="4" t="s">
        <v>548</v>
      </c>
      <c r="B18" s="4" t="s">
        <v>549</v>
      </c>
    </row>
    <row r="19" spans="1:2" x14ac:dyDescent="0.35">
      <c r="A19" s="2" t="s">
        <v>550</v>
      </c>
      <c r="B19" s="2" t="s">
        <v>551</v>
      </c>
    </row>
    <row r="20" spans="1:2" x14ac:dyDescent="0.35">
      <c r="A20" s="4" t="s">
        <v>552</v>
      </c>
      <c r="B20" s="4" t="s">
        <v>553</v>
      </c>
    </row>
    <row r="21" spans="1:2" x14ac:dyDescent="0.35">
      <c r="A21" s="2" t="s">
        <v>554</v>
      </c>
      <c r="B21" s="2" t="s">
        <v>555</v>
      </c>
    </row>
    <row r="22" spans="1:2" x14ac:dyDescent="0.35">
      <c r="A22" s="4" t="s">
        <v>556</v>
      </c>
      <c r="B22" s="4" t="s">
        <v>557</v>
      </c>
    </row>
    <row r="23" spans="1:2" ht="25" x14ac:dyDescent="0.35">
      <c r="A23" s="2" t="s">
        <v>558</v>
      </c>
      <c r="B23" s="2" t="s">
        <v>559</v>
      </c>
    </row>
    <row r="24" spans="1:2" x14ac:dyDescent="0.35">
      <c r="A24" s="4" t="s">
        <v>560</v>
      </c>
      <c r="B24" s="4" t="s">
        <v>561</v>
      </c>
    </row>
    <row r="25" spans="1:2" ht="25" x14ac:dyDescent="0.35">
      <c r="A25" s="2" t="s">
        <v>562</v>
      </c>
      <c r="B25" s="2" t="s">
        <v>563</v>
      </c>
    </row>
    <row r="26" spans="1:2" x14ac:dyDescent="0.35">
      <c r="A26" s="4" t="s">
        <v>477</v>
      </c>
      <c r="B26" s="4" t="s">
        <v>564</v>
      </c>
    </row>
    <row r="27" spans="1:2" ht="25" x14ac:dyDescent="0.35">
      <c r="A27" s="2" t="s">
        <v>565</v>
      </c>
      <c r="B27" s="2" t="s">
        <v>566</v>
      </c>
    </row>
    <row r="28" spans="1:2" x14ac:dyDescent="0.35">
      <c r="A28" s="4" t="s">
        <v>567</v>
      </c>
      <c r="B28" s="4" t="s">
        <v>568</v>
      </c>
    </row>
    <row r="29" spans="1:2" x14ac:dyDescent="0.35">
      <c r="A29" s="2" t="s">
        <v>569</v>
      </c>
      <c r="B29" s="2" t="s">
        <v>570</v>
      </c>
    </row>
  </sheetData>
  <autoFilter ref="A3:B29" xr:uid="{00000000-0009-0000-0000-000015000000}"/>
  <mergeCells count="2">
    <mergeCell ref="A2:B2"/>
    <mergeCell ref="A1:B1"/>
  </mergeCells>
  <hyperlinks>
    <hyperlink ref="B17" r:id="rId1" xr:uid="{00000000-0004-0000-1500-000000000000}"/>
  </hyperlinks>
  <pageMargins left="0.75" right="0.75" top="1" bottom="1" header="0.5" footer="0.5"/>
  <pageSetup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月度总览</vt:lpstr>
      <vt:lpstr>图表</vt:lpstr>
      <vt:lpstr>订阅对比</vt:lpstr>
      <vt:lpstr>业务组对比</vt:lpstr>
      <vt:lpstr>服务对比</vt:lpstr>
      <vt:lpstr>区域对比</vt:lpstr>
      <vt:lpstr>变化原因拆解</vt:lpstr>
      <vt:lpstr>主要计量变化</vt:lpstr>
      <vt:lpstr>增长与下降来源</vt:lpstr>
      <vt:lpstr>资源组对比</vt:lpstr>
      <vt:lpstr>9月资源费用</vt:lpstr>
      <vt:lpstr>每日费用</vt:lpstr>
      <vt:lpstr>10月费用预测</vt:lpstr>
      <vt:lpstr>分摊与计价方式</vt:lpstr>
      <vt:lpstr>RI与SP</vt:lpstr>
      <vt:lpstr>Azure购买建议</vt:lpstr>
      <vt:lpstr>建议与跟踪</vt:lpstr>
      <vt:lpstr>数据库与缓存用量</vt:lpstr>
      <vt:lpstr>存储容量与层级</vt:lpstr>
      <vt:lpstr>日志摄取与保留</vt:lpstr>
      <vt:lpstr>预算检查</vt:lpstr>
      <vt:lpstr>数据覆盖与说明</vt:lpstr>
      <vt:lpstr>'10月费用预测'!Print_Titles</vt:lpstr>
      <vt:lpstr>'9月资源费用'!Print_Titles</vt:lpstr>
      <vt:lpstr>Azure购买建议!Print_Titles</vt:lpstr>
      <vt:lpstr>RI与SP!Print_Titles</vt:lpstr>
      <vt:lpstr>业务组对比!Print_Titles</vt:lpstr>
      <vt:lpstr>主要计量变化!Print_Titles</vt:lpstr>
      <vt:lpstr>分摊与计价方式!Print_Titles</vt:lpstr>
      <vt:lpstr>区域对比!Print_Titles</vt:lpstr>
      <vt:lpstr>变化原因拆解!Print_Titles</vt:lpstr>
      <vt:lpstr>图表!Print_Titles</vt:lpstr>
      <vt:lpstr>增长与下降来源!Print_Titles</vt:lpstr>
      <vt:lpstr>存储容量与层级!Print_Titles</vt:lpstr>
      <vt:lpstr>建议与跟踪!Print_Titles</vt:lpstr>
      <vt:lpstr>数据库与缓存用量!Print_Titles</vt:lpstr>
      <vt:lpstr>数据覆盖与说明!Print_Titles</vt:lpstr>
      <vt:lpstr>日志摄取与保留!Print_Titles</vt:lpstr>
      <vt:lpstr>月度总览!Print_Titles</vt:lpstr>
      <vt:lpstr>服务对比!Print_Titles</vt:lpstr>
      <vt:lpstr>每日费用!Print_Titles</vt:lpstr>
      <vt:lpstr>订阅对比!Print_Titles</vt:lpstr>
      <vt:lpstr>资源组对比!Print_Titles</vt:lpstr>
      <vt:lpstr>预算检查!Print_Titles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Zhou</cp:lastModifiedBy>
  <dcterms:created xsi:type="dcterms:W3CDTF">2026-10-29T15:57:35Z</dcterms:created>
  <dcterms:modified xsi:type="dcterms:W3CDTF">2026-10-29T15:57:39Z</dcterms:modified>
</cp:coreProperties>
</file>