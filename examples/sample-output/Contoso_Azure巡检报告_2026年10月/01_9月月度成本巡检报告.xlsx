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kk_29knp\2026-09\reports\"/>
    </mc:Choice>
  </mc:AlternateContent>
  <xr:revisionPtr revIDLastSave="0" documentId="13_ncr:1_{B32655BD-CD7D-411F-B663-FC2D44C9880D}" xr6:coauthVersionLast="47" xr6:coauthVersionMax="47" xr10:uidLastSave="{00000000-0000-0000-0000-000000000000}"/>
  <bookViews>
    <workbookView xWindow="-3645" yWindow="-13320" windowWidth="5970" windowHeight="10455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RI与SP" sheetId="15" r:id="rId15"/>
    <sheet name="Azure购买建议" sheetId="16" r:id="rId16"/>
    <sheet name="建议与跟踪" sheetId="17" r:id="rId17"/>
    <sheet name="数据库与缓存用量" sheetId="18" r:id="rId18"/>
    <sheet name="存储容量与层级" sheetId="19" r:id="rId19"/>
    <sheet name="日志摄取与保留" sheetId="20" r:id="rId20"/>
    <sheet name="预算检查" sheetId="21" r:id="rId21"/>
    <sheet name="数据覆盖与说明" sheetId="22" r:id="rId22"/>
  </sheets>
  <definedNames>
    <definedName name="_xlnm._FilterDatabase" localSheetId="12" hidden="1">'10月费用预测'!$A$3:$I$9</definedName>
    <definedName name="_xlnm._FilterDatabase" localSheetId="10" hidden="1">'9月资源费用'!$A$3:$F$42</definedName>
    <definedName name="_xlnm._FilterDatabase" localSheetId="15" hidden="1">Azure购买建议!$A$3:$J$6</definedName>
    <definedName name="_xlnm._FilterDatabase" localSheetId="14" hidden="1">RI与SP!$A$3:$I$6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分摊与计价方式!$A$3:$C$18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8" hidden="1">存储容量与层级!$A$3:$M$6</definedName>
    <definedName name="_xlnm._FilterDatabase" localSheetId="16" hidden="1">建议与跟踪!$A$3:$L$12</definedName>
    <definedName name="_xlnm._FilterDatabase" localSheetId="17" hidden="1">数据库与缓存用量!$A$3:$M$9</definedName>
    <definedName name="_xlnm._FilterDatabase" localSheetId="21" hidden="1">数据覆盖与说明!$A$3:$B$29</definedName>
    <definedName name="_xlnm._FilterDatabase" localSheetId="19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资源组对比!$A$3:$F$8</definedName>
    <definedName name="_xlnm._FilterDatabase" localSheetId="20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15">Azure购买建议!$1:$3</definedName>
    <definedName name="_xlnm.Print_Titles" localSheetId="14">RI与SP!$1:$3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8">存储容量与层级!$1:$3</definedName>
    <definedName name="_xlnm.Print_Titles" localSheetId="16">建议与跟踪!$1:$3</definedName>
    <definedName name="_xlnm.Print_Titles" localSheetId="17">数据库与缓存用量!$1:$3</definedName>
    <definedName name="_xlnm.Print_Titles" localSheetId="21">数据覆盖与说明!$1:$3</definedName>
    <definedName name="_xlnm.Print_Titles" localSheetId="19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20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G4" i="13"/>
  <c r="E4" i="13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D6" i="6" s="1"/>
  <c r="B6" i="6"/>
  <c r="G5" i="6"/>
  <c r="H5" i="6" s="1"/>
  <c r="F5" i="6"/>
  <c r="E5" i="6"/>
  <c r="D5" i="6"/>
  <c r="G4" i="6"/>
  <c r="F4" i="6"/>
  <c r="E4" i="6"/>
  <c r="D4" i="6"/>
  <c r="G15" i="5"/>
  <c r="H15" i="5" s="1"/>
  <c r="F15" i="5"/>
  <c r="E15" i="5"/>
  <c r="D15" i="5"/>
  <c r="G14" i="5"/>
  <c r="F14" i="5"/>
  <c r="E14" i="5"/>
  <c r="D14" i="5"/>
  <c r="G13" i="5"/>
  <c r="F13" i="5"/>
  <c r="E13" i="5"/>
  <c r="D13" i="5"/>
  <c r="G12" i="5"/>
  <c r="H12" i="5" s="1"/>
  <c r="F12" i="5"/>
  <c r="E12" i="5"/>
  <c r="D12" i="5"/>
  <c r="G11" i="5"/>
  <c r="F11" i="5"/>
  <c r="E11" i="5"/>
  <c r="D11" i="5"/>
  <c r="G10" i="5"/>
  <c r="H10" i="5" s="1"/>
  <c r="F10" i="5"/>
  <c r="E10" i="5"/>
  <c r="D10" i="5"/>
  <c r="G9" i="5"/>
  <c r="F9" i="5"/>
  <c r="E9" i="5"/>
  <c r="D9" i="5"/>
  <c r="G8" i="5"/>
  <c r="H8" i="5" s="1"/>
  <c r="F8" i="5"/>
  <c r="E8" i="5"/>
  <c r="D8" i="5"/>
  <c r="G7" i="5"/>
  <c r="F7" i="5"/>
  <c r="E7" i="5"/>
  <c r="D7" i="5"/>
  <c r="G6" i="5"/>
  <c r="F6" i="5"/>
  <c r="E6" i="5"/>
  <c r="D6" i="5"/>
  <c r="G5" i="5"/>
  <c r="F5" i="5"/>
  <c r="E5" i="5"/>
  <c r="D5" i="5"/>
  <c r="G4" i="5"/>
  <c r="F4" i="5"/>
  <c r="E4" i="5"/>
  <c r="D4" i="5"/>
  <c r="G7" i="4"/>
  <c r="H7" i="4" s="1"/>
  <c r="F7" i="4"/>
  <c r="E7" i="4"/>
  <c r="D7" i="4"/>
  <c r="G6" i="4"/>
  <c r="H6" i="4" s="1"/>
  <c r="F6" i="4"/>
  <c r="E6" i="4"/>
  <c r="D6" i="4"/>
  <c r="G5" i="4"/>
  <c r="F5" i="4"/>
  <c r="E5" i="4"/>
  <c r="D5" i="4"/>
  <c r="G4" i="4"/>
  <c r="F4" i="4"/>
  <c r="E4" i="4"/>
  <c r="D4" i="4"/>
  <c r="H8" i="3"/>
  <c r="I8" i="3" s="1"/>
  <c r="G8" i="3"/>
  <c r="F8" i="3"/>
  <c r="E8" i="3"/>
  <c r="H7" i="3"/>
  <c r="I7" i="3" s="1"/>
  <c r="G7" i="3"/>
  <c r="F7" i="3"/>
  <c r="E7" i="3"/>
  <c r="H6" i="3"/>
  <c r="G6" i="3"/>
  <c r="F6" i="3"/>
  <c r="E6" i="3"/>
  <c r="H5" i="3"/>
  <c r="G5" i="3"/>
  <c r="F5" i="3"/>
  <c r="E5" i="3"/>
  <c r="H4" i="3"/>
  <c r="I4" i="3" s="1"/>
  <c r="G4" i="3"/>
  <c r="F4" i="3"/>
  <c r="E4" i="3"/>
  <c r="B6" i="1"/>
  <c r="B10" i="1" s="1"/>
  <c r="B5" i="1"/>
  <c r="H14" i="5" l="1"/>
  <c r="H4" i="6"/>
  <c r="H11" i="5"/>
  <c r="H4" i="5"/>
  <c r="H5" i="4"/>
  <c r="I6" i="3"/>
  <c r="I5" i="3"/>
  <c r="H13" i="5"/>
  <c r="H7" i="5"/>
  <c r="H6" i="5"/>
  <c r="H4" i="4"/>
  <c r="H5" i="5"/>
  <c r="H9" i="5"/>
  <c r="G5" i="13"/>
  <c r="E9" i="13"/>
  <c r="G9" i="13" s="1"/>
  <c r="B8" i="1"/>
  <c r="B7" i="1"/>
  <c r="B9" i="1"/>
  <c r="B11" i="1" s="1"/>
</calcChain>
</file>

<file path=xl/sharedStrings.xml><?xml version="1.0" encoding="utf-8"?>
<sst xmlns="http://schemas.openxmlformats.org/spreadsheetml/2006/main" count="1079" uniqueCount="571">
  <si>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</si>
  <si>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</si>
  <si>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</si>
  <si>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</si>
  <si>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</si>
  <si>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</si>
  <si>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</si>
  <si>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</si>
  <si>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</si>
  <si>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</si>
  <si>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</si>
  <si>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</si>
  <si>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</si>
  <si>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</si>
  <si>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</si>
  <si>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</si>
  <si>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</si>
  <si>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</si>
  <si>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</si>
  <si>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</si>
  <si>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</si>
  <si>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</si>
  <si>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</si>
  <si>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</si>
  <si>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2026-10-27T06:11:07.154271+00:00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</si>
  <si>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</si>
  <si>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</si>
  <si>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</si>
  <si>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</si>
  <si>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</si>
  <si>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</si>
  <si>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</si>
  <si>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</si>
  <si>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</si>
  <si>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</si>
  <si>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</si>
  <si>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</si>
  <si>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</si>
  <si>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</si>
  <si>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</si>
  <si>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</si>
  <si>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</si>
  <si>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</si>
  <si>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</si>
  <si>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</si>
  <si>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</si>
  <si>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</si>
  <si>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</si>
  <si>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</si>
  <si>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</si>
  <si>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</si>
  <si>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</si>
  <si>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</si>
  <si>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</si>
  <si>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</si>
  <si>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</si>
  <si>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</si>
  <si>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</si>
  <si>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</si>
  <si>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</si>
  <si>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</si>
  <si>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</si>
  <si>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</si>
  <si>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</si>
  <si>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</si>
  <si>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</si>
  <si>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</si>
  <si>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</si>
  <si>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</si>
  <si>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</si>
  <si>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</si>
  <si>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</si>
  <si>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</si>
  <si>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</si>
  <si>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</si>
  <si>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</si>
  <si>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</si>
  <si>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</si>
  <si>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</si>
  <si>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</si>
  <si>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</si>
  <si>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</si>
  <si>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</si>
  <si>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</si>
  <si>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</si>
  <si>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</si>
  <si>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</si>
  <si>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</si>
  <si>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</si>
  <si>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</si>
  <si>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</si>
  <si>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</si>
  <si>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</si>
  <si>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</si>
  <si>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</si>
  <si>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</si>
  <si>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</si>
  <si>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</si>
  <si>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</si>
  <si>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</si>
  <si>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</si>
  <si>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</si>
  <si>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</si>
  <si>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</si>
  <si>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</si>
  <si>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</si>
  <si>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</si>
  <si>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</si>
  <si>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</si>
  <si>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</si>
  <si>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</si>
  <si>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</si>
  <si>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</si>
  <si>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</si>
  <si>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</si>
  <si>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</si>
  <si>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</si>
  <si>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</si>
  <si>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</si>
  <si>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</si>
  <si>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</si>
  <si>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</si>
  <si>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</si>
  <si>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</si>
  <si>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</si>
  <si>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</si>
  <si>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</si>
  <si>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</si>
  <si>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</si>
  <si>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</si>
  <si>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</si>
  <si>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</si>
  <si>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</si>
  <si>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</si>
  <si>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</si>
  <si>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</si>
  <si>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</si>
  <si>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</si>
  <si>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</si>
  <si>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</si>
  <si>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</si>
  <si>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</si>
  <si>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</si>
  <si>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</si>
  <si>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</si>
  <si>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</si>
  <si>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</si>
  <si>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</si>
  <si>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</si>
  <si>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</si>
  <si>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</si>
  <si>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</si>
  <si>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</si>
  <si>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</si>
  <si>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</si>
  <si>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</si>
  <si>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</si>
  <si>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</si>
  <si>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</si>
  <si>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</si>
  <si>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</si>
  <si>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</si>
  <si>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</si>
  <si>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</si>
  <si>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</si>
  <si>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</si>
  <si>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</si>
  <si>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</si>
  <si>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</si>
  <si>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</si>
  <si>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</si>
  <si>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</si>
  <si>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</si>
  <si>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</si>
  <si>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</si>
  <si>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</si>
  <si>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</si>
  <si>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</si>
  <si>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</si>
  <si>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</si>
  <si>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</si>
  <si>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</si>
  <si>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</si>
  <si>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-188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</si>
  <si>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</si>
  <si>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</si>
  <si>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</si>
  <si>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</si>
  <si>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</si>
  <si>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</si>
  <si>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</si>
  <si>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</si>
  <si>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</si>
  <si>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</si>
  <si>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</si>
  <si>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</si>
  <si>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</si>
  <si>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</si>
  <si>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</si>
  <si>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</si>
  <si>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</si>
  <si>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</si>
  <si>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-7（按账单拆分，业务原因待确认）</t>
  </si>
  <si>
    <t>shop-web-test-02 于 8 月 20 日释放，9 月不再计费</t>
  </si>
  <si>
    <t>天数差异 USD -51（按账单拆分，业务原因待确认）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</si>
  <si>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</si>
  <si>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</si>
  <si>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</si>
  <si>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</si>
  <si>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</si>
  <si>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</si>
  <si>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</si>
  <si>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</si>
  <si>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</si>
  <si>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</si>
  <si>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</si>
  <si>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</si>
  <si>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</si>
  <si>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</si>
  <si>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</si>
  <si>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</si>
  <si>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</si>
  <si>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</si>
  <si>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</si>
  <si>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</si>
  <si>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</si>
  <si>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</si>
  <si>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</si>
  <si>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</si>
  <si>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</si>
  <si>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</si>
  <si>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</si>
  <si>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</si>
  <si>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</si>
  <si>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</si>
  <si>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</si>
  <si>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</si>
  <si>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</si>
  <si>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</si>
  <si>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</si>
  <si>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</si>
  <si>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</si>
  <si>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</si>
  <si>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</si>
  <si>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</si>
  <si>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</si>
  <si>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</si>
  <si>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</si>
  <si>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</si>
  <si>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</si>
  <si>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</si>
  <si>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</si>
  <si>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</si>
  <si>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</si>
  <si>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</si>
  <si>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</si>
  <si>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</si>
  <si>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</si>
  <si>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</si>
  <si>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</si>
  <si>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</si>
  <si>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</si>
  <si>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</si>
  <si>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</si>
  <si>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shop-mysql-prod</t>
  </si>
  <si>
    <t>/subscriptions/5a1e0c01-1111-4c2a-9a10-0000000000a1/resourcegroups/shop-rg/providers/microsoft.dbformysql/flexibleservers/shop-mysql-prod</t>
  </si>
  <si>
    <t>pay-mysql-prod</t>
  </si>
  <si>
    <t>/subscriptions/5a1e0c01-1111-4c2a-9a10-0000000000a3/resourcegroups/pay-rg/providers/microsoft.dbformysql/flexibleservers/pay-mysql-prod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</si>
  <si>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</si>
  <si>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</si>
  <si>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</si>
  <si>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</si>
  <si>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</si>
  <si>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</si>
  <si>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</si>
  <si>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</si>
  <si>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</si>
  <si>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</si>
  <si>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</si>
  <si>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</si>
  <si>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</si>
  <si>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</si>
  <si>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</si>
  <si>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</si>
  <si>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</si>
  <si>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</si>
  <si>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</si>
  <si>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</si>
  <si>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</si>
  <si>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</si>
  <si>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</si>
  <si>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</si>
  <si>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</si>
  <si>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</si>
  <si>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</si>
  <si>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</si>
  <si>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</si>
  <si>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</si>
  <si>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</si>
  <si>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</si>
  <si>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</si>
  <si>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</si>
  <si>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</si>
  <si>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</si>
  <si>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</si>
  <si>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</si>
  <si>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</si>
  <si>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</si>
  <si>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</si>
  <si>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</si>
  <si>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</si>
  <si>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</si>
  <si>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</si>
  <si>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</si>
  <si>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</si>
  <si>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</si>
  <si>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</si>
  <si>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</si>
  <si>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</si>
  <si>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</si>
  <si>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</si>
  <si>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</si>
  <si>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</si>
  <si>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</si>
  <si>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data-etl-01-osdisk</t>
  </si>
  <si>
    <t>/subscriptions/5a1e0c01-1111-4c2a-9a10-0000000000a4/resourcegroups/data-rg/providers/microsoft.compute/disks/data-etl-01-osdisk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</si>
  <si>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</si>
  <si>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</si>
  <si>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</si>
  <si>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</si>
  <si>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</si>
  <si>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</si>
  <si>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</si>
  <si>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</si>
  <si>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查询日期2026-10-27；已发生的日期为实际费用，其余为Azure预测值，不是账单金额。9月无费用的订阅预测接口不返回结果。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</si>
  <si>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</si>
  <si>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</si>
  <si>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</si>
  <si>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</si>
  <si>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</si>
  <si>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</si>
  <si>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</si>
  <si>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</si>
  <si>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</si>
  <si>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</si>
  <si>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</si>
  <si>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</si>
  <si>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</si>
  <si>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</si>
  <si>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分摊费用/计价方式（按资源汇总）</t>
  </si>
  <si>
    <t>ondemand</t>
  </si>
  <si>
    <t>reservation</t>
  </si>
  <si>
    <t>现有预留实例（RI）和节省计划（SP）</t>
  </si>
  <si>
    <t>使用率来自 Azure；近 30 天低于 80% 视为未用满，90 天内到期单独提示。读不到订单时不代表没有购买。</t>
  </si>
  <si>
    <t>名称</t>
  </si>
  <si>
    <t>规格或承诺</t>
  </si>
  <si>
    <t>范围</t>
  </si>
  <si>
    <t>期限</t>
  </si>
  <si>
    <t>近7天使用率%</t>
  </si>
  <si>
    <t>近30天使用率%</t>
  </si>
  <si>
    <t>到期日期</t>
  </si>
  <si>
    <t>提示</t>
  </si>
  <si>
    <t>预留实例</t>
  </si>
  <si>
    <t>shop-web-d4sv5</t>
  </si>
  <si>
    <t>Standard_D4s_v5</t>
  </si>
  <si>
    <t>Single</t>
  </si>
  <si>
    <t>1 年</t>
  </si>
  <si>
    <t>2027-03-31</t>
  </si>
  <si>
    <t>正常</t>
  </si>
  <si>
    <t>legacy-report-e16sv5</t>
  </si>
  <si>
    <t>Standard_E16s_v5</t>
  </si>
  <si>
    <t>Shared</t>
  </si>
  <si>
    <t>2027-05-31</t>
  </si>
  <si>
    <t>近 30 天使用率 0%，未用满</t>
  </si>
  <si>
    <t>节省计划</t>
  </si>
  <si>
    <t>compute-sp-2025</t>
  </si>
  <si>
    <t>每小时承诺 USD 1.20</t>
  </si>
  <si>
    <t>2026-12-15</t>
  </si>
  <si>
    <t>49 天后到期，未设置自动续订</t>
  </si>
  <si>
    <t>Azure 基于过去 30 天用量的 RI/SP 购买建议</t>
  </si>
  <si>
    <t>金额为 Azure 估算的 30 天费用和节省（约等于每月），按当前用量计算，未考虑降配；先降配并稳定后再按新的用量采购。同一订阅的 1 年和 3 年、预留实例和节省计划是互相替代的方案，节省不能相加。</t>
  </si>
  <si>
    <t>类型</t>
  </si>
  <si>
    <t>资源类型</t>
  </si>
  <si>
    <t>规格</t>
  </si>
  <si>
    <t>建议数量或每小时承诺</t>
  </si>
  <si>
    <t>30天按需费用USD</t>
  </si>
  <si>
    <t>购买后费用USD</t>
  </si>
  <si>
    <t>估算节省USD（30天）</t>
  </si>
  <si>
    <t>VirtualMachines</t>
  </si>
  <si>
    <t>japaneast</t>
  </si>
  <si>
    <t>3 年</t>
  </si>
  <si>
    <t>Compute_Savings_Plan</t>
  </si>
  <si>
    <t>每小时承诺 0.95</t>
  </si>
  <si>
    <t>建议清单和执行跟踪</t>
  </si>
  <si>
    <t>预计节省不是已实现节省；当前检查建议与历史费用分别标注。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</si>
  <si>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</si>
  <si>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</si>
  <si>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</si>
  <si>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</si>
  <si>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</si>
  <si>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</si>
  <si>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</si>
  <si>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</si>
  <si>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</si>
  <si>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</si>
  <si>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</si>
  <si>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</si>
  <si>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</si>
  <si>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</si>
  <si>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</si>
  <si>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</si>
  <si>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</si>
  <si>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</si>
  <si>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</si>
  <si>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</si>
  <si>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</si>
  <si>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</si>
  <si>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</si>
  <si>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</si>
  <si>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</si>
  <si>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</si>
  <si>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</si>
  <si>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</si>
  <si>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</si>
  <si>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</si>
  <si>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</si>
  <si>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</si>
  <si>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</si>
  <si>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</si>
  <si>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</si>
  <si>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9月分摊费用中 8.3% 由 RI/SP 覆盖；现有 2 个预留、1 个节省计划，其中 1 个近 30 天未用满，1 个即将到期；Azure 基于过去 30 天用量估算，购买 1 年期预留实例约节省 USD 128.62，购买 1 年期节省计划约节省 USD 188.60（每 30 天，按当前用量、未计入降配；预留实例和节省计划覆盖同一部分用量，只能选其一，3 年期方案见 Excel）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</si>
  <si>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</si>
  <si>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</si>
  <si>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</si>
  <si>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</si>
  <si>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</si>
  <si>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</si>
  <si>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</si>
  <si>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</si>
  <si>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</si>
  <si>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</si>
  <si>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</si>
  <si>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</si>
  <si>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</si>
  <si>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</si>
  <si>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</si>
  <si>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</si>
  <si>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</si>
  <si>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</si>
  <si>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</si>
  <si>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</si>
  <si>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</si>
  <si>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</si>
  <si>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</si>
  <si>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</si>
  <si>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</si>
  <si>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</si>
  <si>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</si>
  <si>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</si>
  <si>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</si>
  <si>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</si>
  <si>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</si>
  <si>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</si>
  <si>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</si>
  <si>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</si>
  <si>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</si>
  <si>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</si>
  <si>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</si>
  <si>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</si>
  <si>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</si>
  <si>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</si>
  <si>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</si>
  <si>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</si>
  <si>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</si>
  <si>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</si>
  <si>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</si>
  <si>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</si>
  <si>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</si>
  <si>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</si>
  <si>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</si>
  <si>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</si>
  <si>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</si>
  <si>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</si>
  <si>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</si>
  <si>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</si>
  <si>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</si>
  <si>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</si>
  <si>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</si>
  <si>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</si>
  <si>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</si>
  <si>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</si>
  <si>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</si>
  <si>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</si>
  <si>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</si>
  <si>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</si>
  <si>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</si>
  <si>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</si>
  <si>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</si>
  <si>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</si>
  <si>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</si>
  <si>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</si>
  <si>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</si>
  <si>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</si>
  <si>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</si>
  <si>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</si>
  <si>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</si>
  <si>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</si>
  <si>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</si>
  <si>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</si>
  <si>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</si>
  <si>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</si>
  <si>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</si>
  <si>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</si>
  <si>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</si>
  <si>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</si>
  <si>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</si>
  <si>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</si>
  <si>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</si>
  <si>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</si>
  <si>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</si>
  <si>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</si>
  <si>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</si>
  <si>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</si>
  <si>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</si>
  <si>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</si>
  <si>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</si>
  <si>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</si>
  <si>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</si>
  <si>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</si>
  <si>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</si>
  <si>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</si>
  <si>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</si>
  <si>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</si>
  <si>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</si>
  <si>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</si>
  <si>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</si>
  <si>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</si>
  <si>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</si>
  <si>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</si>
  <si>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</si>
  <si>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</si>
  <si>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</si>
  <si>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</si>
  <si>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</si>
  <si>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</si>
  <si>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</si>
  <si>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</si>
  <si>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</si>
  <si>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</si>
  <si>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</si>
  <si>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RI/SP 覆盖（按资源）</t>
  </si>
  <si>
    <t>4 个有费用的订阅读取成功（9月分摊费用，按资源和计价方式）</t>
  </si>
  <si>
    <t>RI/SP 现有订单</t>
  </si>
  <si>
    <t>预留：读取成功；节省计划：读取成功</t>
  </si>
  <si>
    <t>Azure 购买建议</t>
  </si>
  <si>
    <t>6/6 次查询成功，共 3 条建议</t>
  </si>
  <si>
    <t>按区域费用</t>
  </si>
  <si>
    <t>5个可读取订阅的8月、9月区域费用全部读取成功，合计与订阅费用一致</t>
  </si>
  <si>
    <t>10月费用预测</t>
  </si>
  <si>
    <t>查询日期2026-10-27；5个订阅有预测结果，其余0个订阅接口未返回预测；预测为Azure模型结果，不是账单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</si>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</sst>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461.14850000000001</c:v>
                </c:pt>
                <c:pt idx="1">
                  <c:v>455.50380000000001</c:v>
                </c:pt>
                <c:pt idx="2">
                  <c:v>563.57100000000003</c:v>
                </c:pt>
                <c:pt idx="3">
                  <c:v>550.92129999999997</c:v>
                </c:pt>
                <c:pt idx="4">
                  <c:v>556.50670000000002</c:v>
                </c:pt>
                <c:pt idx="5">
                  <c:v>543.50699999999995</c:v>
                </c:pt>
                <c:pt idx="6">
                  <c:v>554.72490000000005</c:v>
                </c:pt>
                <c:pt idx="7">
                  <c:v>463.85899999999998</c:v>
                </c:pt>
                <c:pt idx="8">
                  <c:v>453.40100000000001</c:v>
                </c:pt>
                <c:pt idx="9">
                  <c:v>555.22130000000004</c:v>
                </c:pt>
                <c:pt idx="10">
                  <c:v>551.94960000000003</c:v>
                </c:pt>
                <c:pt idx="11">
                  <c:v>553.93650000000002</c:v>
                </c:pt>
                <c:pt idx="12">
                  <c:v>545.68809999999996</c:v>
                </c:pt>
                <c:pt idx="13">
                  <c:v>559.62130000000002</c:v>
                </c:pt>
                <c:pt idx="14">
                  <c:v>456.20760000000001</c:v>
                </c:pt>
                <c:pt idx="15">
                  <c:v>464.64600000000002</c:v>
                </c:pt>
                <c:pt idx="16">
                  <c:v>563.87400000000002</c:v>
                </c:pt>
                <c:pt idx="17">
                  <c:v>546.76220000000001</c:v>
                </c:pt>
                <c:pt idx="18">
                  <c:v>544.72749999999996</c:v>
                </c:pt>
                <c:pt idx="19">
                  <c:v>555.17280000000005</c:v>
                </c:pt>
                <c:pt idx="20">
                  <c:v>555.51290000000006</c:v>
                </c:pt>
                <c:pt idx="21">
                  <c:v>456.7817</c:v>
                </c:pt>
                <c:pt idx="22">
                  <c:v>452.0933</c:v>
                </c:pt>
                <c:pt idx="23">
                  <c:v>555.11469999999997</c:v>
                </c:pt>
                <c:pt idx="24">
                  <c:v>558.48099999999999</c:v>
                </c:pt>
                <c:pt idx="25">
                  <c:v>553.61919999999998</c:v>
                </c:pt>
                <c:pt idx="26">
                  <c:v>551.22130000000004</c:v>
                </c:pt>
                <c:pt idx="27">
                  <c:v>545.29280000000006</c:v>
                </c:pt>
                <c:pt idx="28">
                  <c:v>460.24250000000001</c:v>
                </c:pt>
                <c:pt idx="29">
                  <c:v>462.1037</c:v>
                </c:pt>
                <c:pt idx="30">
                  <c:v>544.94809999999995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53-4822-A0CB-B1770A835C3E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553.49680000000001</c:v>
                </c:pt>
                <c:pt idx="32" formatCode="#,##0.00;\(#,##0.00\);&quot;-&quot;">
                  <c:v>559.88810000000001</c:v>
                </c:pt>
                <c:pt idx="33" formatCode="#,##0.00;\(#,##0.00\);&quot;-&quot;">
                  <c:v>555.70730000000003</c:v>
                </c:pt>
                <c:pt idx="34" formatCode="#,##0.00;\(#,##0.00\);&quot;-&quot;">
                  <c:v>571.92809999999997</c:v>
                </c:pt>
                <c:pt idx="35" formatCode="#,##0.00;\(#,##0.00\);&quot;-&quot;">
                  <c:v>459.32940000000002</c:v>
                </c:pt>
                <c:pt idx="36" formatCode="#,##0.00;\(#,##0.00\);&quot;-&quot;">
                  <c:v>466.36869999999999</c:v>
                </c:pt>
                <c:pt idx="37" formatCode="#,##0.00;\(#,##0.00\);&quot;-&quot;">
                  <c:v>565.64239999999995</c:v>
                </c:pt>
                <c:pt idx="38" formatCode="#,##0.00;\(#,##0.00\);&quot;-&quot;">
                  <c:v>586.09050000000002</c:v>
                </c:pt>
                <c:pt idx="39" formatCode="#,##0.00;\(#,##0.00\);&quot;-&quot;">
                  <c:v>597.45690000000002</c:v>
                </c:pt>
                <c:pt idx="40" formatCode="#,##0.00;\(#,##0.00\);&quot;-&quot;">
                  <c:v>598.43500000000006</c:v>
                </c:pt>
                <c:pt idx="41" formatCode="#,##0.00;\(#,##0.00\);&quot;-&quot;">
                  <c:v>592.74289999999996</c:v>
                </c:pt>
                <c:pt idx="42" formatCode="#,##0.00;\(#,##0.00\);&quot;-&quot;">
                  <c:v>497.28289999999998</c:v>
                </c:pt>
                <c:pt idx="43" formatCode="#,##0.00;\(#,##0.00\);&quot;-&quot;">
                  <c:v>502.35759999999999</c:v>
                </c:pt>
                <c:pt idx="44" formatCode="#,##0.00;\(#,##0.00\);&quot;-&quot;">
                  <c:v>599.6875</c:v>
                </c:pt>
                <c:pt idx="45" formatCode="#,##0.00;\(#,##0.00\);&quot;-&quot;">
                  <c:v>636.48860000000002</c:v>
                </c:pt>
                <c:pt idx="46" formatCode="#,##0.00;\(#,##0.00\);&quot;-&quot;">
                  <c:v>617.72800000000007</c:v>
                </c:pt>
                <c:pt idx="47" formatCode="#,##0.00;\(#,##0.00\);&quot;-&quot;">
                  <c:v>631.40219999999999</c:v>
                </c:pt>
                <c:pt idx="48" formatCode="#,##0.00;\(#,##0.00\);&quot;-&quot;">
                  <c:v>632.36149999999998</c:v>
                </c:pt>
                <c:pt idx="49" formatCode="#,##0.00;\(#,##0.00\);&quot;-&quot;">
                  <c:v>524.0258</c:v>
                </c:pt>
                <c:pt idx="50" formatCode="#,##0.00;\(#,##0.00\);&quot;-&quot;">
                  <c:v>520.97580000000005</c:v>
                </c:pt>
                <c:pt idx="51" formatCode="#,##0.00;\(#,##0.00\);&quot;-&quot;">
                  <c:v>621.6232</c:v>
                </c:pt>
                <c:pt idx="52" formatCode="#,##0.00;\(#,##0.00\);&quot;-&quot;">
                  <c:v>619.85619999999994</c:v>
                </c:pt>
                <c:pt idx="53" formatCode="#,##0.00;\(#,##0.00\);&quot;-&quot;">
                  <c:v>628.68520000000001</c:v>
                </c:pt>
                <c:pt idx="54" formatCode="#,##0.00;\(#,##0.00\);&quot;-&quot;">
                  <c:v>627.81989999999996</c:v>
                </c:pt>
                <c:pt idx="55" formatCode="#,##0.00;\(#,##0.00\);&quot;-&quot;">
                  <c:v>640.27930000000003</c:v>
                </c:pt>
                <c:pt idx="56" formatCode="#,##0.00;\(#,##0.00\);&quot;-&quot;">
                  <c:v>522.6558</c:v>
                </c:pt>
                <c:pt idx="57" formatCode="#,##0.00;\(#,##0.00\);&quot;-&quot;">
                  <c:v>525.76089999999999</c:v>
                </c:pt>
                <c:pt idx="58" formatCode="#,##0.00;\(#,##0.00\);&quot;-&quot;">
                  <c:v>637.30960000000005</c:v>
                </c:pt>
                <c:pt idx="59" formatCode="#,##0.00;\(#,##0.00\);&quot;-&quot;">
                  <c:v>622.77660000000003</c:v>
                </c:pt>
                <c:pt idx="60" formatCode="#,##0.00;\(#,##0.00\);&quot;-&quot;">
                  <c:v>634.77980000000002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53-4822-A0CB-B1770A835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625.02160000000003</c:v>
                </c:pt>
                <c:pt idx="1">
                  <c:v>625.58620000000008</c:v>
                </c:pt>
                <c:pt idx="2">
                  <c:v>522.5200000000001</c:v>
                </c:pt>
                <c:pt idx="3">
                  <c:v>522.9393</c:v>
                </c:pt>
                <c:pt idx="4">
                  <c:v>634.13270000000011</c:v>
                </c:pt>
                <c:pt idx="5">
                  <c:v>627.79370000000006</c:v>
                </c:pt>
                <c:pt idx="6">
                  <c:v>633.00520000000006</c:v>
                </c:pt>
                <c:pt idx="7">
                  <c:v>630.03070000000002</c:v>
                </c:pt>
                <c:pt idx="8">
                  <c:v>631.37400000000002</c:v>
                </c:pt>
                <c:pt idx="9">
                  <c:v>533.1069</c:v>
                </c:pt>
                <c:pt idx="10">
                  <c:v>521.82230000000004</c:v>
                </c:pt>
                <c:pt idx="11">
                  <c:v>636.70240000000013</c:v>
                </c:pt>
                <c:pt idx="12">
                  <c:v>639.46900000000005</c:v>
                </c:pt>
                <c:pt idx="13">
                  <c:v>635.03280000000007</c:v>
                </c:pt>
                <c:pt idx="14">
                  <c:v>643.47460000000001</c:v>
                </c:pt>
                <c:pt idx="15">
                  <c:v>636.91560000000004</c:v>
                </c:pt>
                <c:pt idx="16">
                  <c:v>524.8886</c:v>
                </c:pt>
                <c:pt idx="17">
                  <c:v>529.5489</c:v>
                </c:pt>
                <c:pt idx="18">
                  <c:v>627.92690000000005</c:v>
                </c:pt>
                <c:pt idx="19">
                  <c:v>642.00540000000001</c:v>
                </c:pt>
                <c:pt idx="20">
                  <c:v>628.89940000000001</c:v>
                </c:pt>
                <c:pt idx="21">
                  <c:v>629.02320000000009</c:v>
                </c:pt>
                <c:pt idx="22">
                  <c:v>644.95950000000005</c:v>
                </c:pt>
                <c:pt idx="23">
                  <c:v>532.54500000000007</c:v>
                </c:pt>
                <c:pt idx="24">
                  <c:v>535.88990000000013</c:v>
                </c:pt>
                <c:pt idx="25">
                  <c:v>631.09440000000006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3A-4C6B-8439-D87CB773F152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606.34525700000006</c:v>
                </c:pt>
                <c:pt idx="27" formatCode="#,##0.00;\(#,##0.00\);&quot;-&quot;">
                  <c:v>606.34525700000006</c:v>
                </c:pt>
                <c:pt idx="28" formatCode="#,##0.00;\(#,##0.00\);&quot;-&quot;">
                  <c:v>606.34525700000006</c:v>
                </c:pt>
                <c:pt idx="29" formatCode="#,##0.00;\(#,##0.00\);&quot;-&quot;">
                  <c:v>606.34525700000006</c:v>
                </c:pt>
                <c:pt idx="30" formatCode="#,##0.00;\(#,##0.00\);&quot;-&quot;">
                  <c:v>424.44168000000002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3A-4C6B-8439-D87CB773F152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578.36475000000007</c:v>
                </c:pt>
                <c:pt idx="1">
                  <c:v>578.36475000000007</c:v>
                </c:pt>
                <c:pt idx="2">
                  <c:v>578.36475000000007</c:v>
                </c:pt>
                <c:pt idx="3">
                  <c:v>578.36475000000007</c:v>
                </c:pt>
                <c:pt idx="4">
                  <c:v>578.36475000000007</c:v>
                </c:pt>
                <c:pt idx="5">
                  <c:v>578.36475000000007</c:v>
                </c:pt>
                <c:pt idx="6">
                  <c:v>578.36475000000007</c:v>
                </c:pt>
                <c:pt idx="7">
                  <c:v>578.36475000000007</c:v>
                </c:pt>
                <c:pt idx="8">
                  <c:v>578.36475000000007</c:v>
                </c:pt>
                <c:pt idx="9">
                  <c:v>578.36475000000007</c:v>
                </c:pt>
                <c:pt idx="10">
                  <c:v>578.36475000000007</c:v>
                </c:pt>
                <c:pt idx="11">
                  <c:v>578.36475000000007</c:v>
                </c:pt>
                <c:pt idx="12">
                  <c:v>578.36475000000007</c:v>
                </c:pt>
                <c:pt idx="13">
                  <c:v>578.36475000000007</c:v>
                </c:pt>
                <c:pt idx="14">
                  <c:v>578.36475000000007</c:v>
                </c:pt>
                <c:pt idx="15">
                  <c:v>578.36475000000007</c:v>
                </c:pt>
                <c:pt idx="16">
                  <c:v>578.36475000000007</c:v>
                </c:pt>
                <c:pt idx="17">
                  <c:v>578.36475000000007</c:v>
                </c:pt>
                <c:pt idx="18">
                  <c:v>578.36475000000007</c:v>
                </c:pt>
                <c:pt idx="19">
                  <c:v>578.36475000000007</c:v>
                </c:pt>
                <c:pt idx="20">
                  <c:v>578.36475000000007</c:v>
                </c:pt>
                <c:pt idx="21">
                  <c:v>578.36475000000007</c:v>
                </c:pt>
                <c:pt idx="22">
                  <c:v>578.36475000000007</c:v>
                </c:pt>
                <c:pt idx="23">
                  <c:v>578.36475000000007</c:v>
                </c:pt>
                <c:pt idx="24">
                  <c:v>578.36475000000007</c:v>
                </c:pt>
                <c:pt idx="25">
                  <c:v>578.36475000000007</c:v>
                </c:pt>
                <c:pt idx="26">
                  <c:v>578.36475000000007</c:v>
                </c:pt>
                <c:pt idx="27">
                  <c:v>578.36475000000007</c:v>
                </c:pt>
                <c:pt idx="28">
                  <c:v>578.36475000000007</c:v>
                </c:pt>
                <c:pt idx="29">
                  <c:v>578.36475000000007</c:v>
                </c:pt>
                <c:pt idx="30">
                  <c:v>578.36475000000007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3A-4C6B-8439-D87CB773F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9893.9446000000007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F8D-48FF-908F-07C42B280513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9986.268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F8D-48FF-908F-07C42B280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042-4AB8-A216-A2A24AE1475A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042-4AB8-A216-A2A24AE1475A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042-4AB8-A216-A2A24AE1475A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042-4AB8-A216-A2A24AE1475A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7042-4AB8-A216-A2A24AE1475A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7042-4AB8-A216-A2A24AE1475A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7042-4AB8-A216-A2A24AE1475A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7042-4AB8-A216-A2A24AE1475A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7042-4AB8-A216-A2A24AE1475A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7042-4AB8-A216-A2A24AE1475A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71.957000000000107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-25.199999999999822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042-4AB8-A216-A2A24AE14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F94-48D9-B4C9-8FE5828FB4FA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F94-48D9-B4C9-8FE5828FB4FA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616.38940000000002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94-48D9-B4C9-8FE5828FB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17350.942500000001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16196.361299999999</v>
      </c>
      <c r="C6" s="4" t="s">
        <v>10</v>
      </c>
    </row>
    <row r="7" spans="1:3" x14ac:dyDescent="0.35">
      <c r="A7" s="2" t="s">
        <v>11</v>
      </c>
      <c r="B7" s="8">
        <f>B5-B6</f>
        <v>1154.5812000000024</v>
      </c>
      <c r="C7" s="2" t="s">
        <v>12</v>
      </c>
    </row>
    <row r="8" spans="1:3" x14ac:dyDescent="0.35">
      <c r="A8" s="4" t="s">
        <v>13</v>
      </c>
      <c r="B8" s="9">
        <f>B5/B6-1</f>
        <v>7.1286456174573187E-2</v>
      </c>
      <c r="C8" s="4" t="s">
        <v>14</v>
      </c>
    </row>
    <row r="9" spans="1:3" x14ac:dyDescent="0.35">
      <c r="A9" s="2" t="s">
        <v>15</v>
      </c>
      <c r="B9" s="8">
        <f>B5/30</f>
        <v>578.36475000000007</v>
      </c>
      <c r="C9" s="2" t="s">
        <v>16</v>
      </c>
    </row>
    <row r="10" spans="1:3" x14ac:dyDescent="0.35">
      <c r="A10" s="4" t="s">
        <v>17</v>
      </c>
      <c r="B10" s="10">
        <f>B6/31</f>
        <v>522.4632677419354</v>
      </c>
      <c r="C10" s="4" t="s">
        <v>18</v>
      </c>
    </row>
    <row r="11" spans="1:3" x14ac:dyDescent="0.35">
      <c r="A11" s="2" t="s">
        <v>19</v>
      </c>
      <c r="B11" s="11">
        <f>B9/B10-1</f>
        <v>0.10699600471372572</v>
      </c>
      <c r="C11" s="2" t="s">
        <v>20</v>
      </c>
    </row>
    <row r="12" spans="1:3" x14ac:dyDescent="0.35">
      <c r="A12" s="4" t="s">
        <v>21</v>
      </c>
      <c r="B12" s="5">
        <v>17350.942500000001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18475.530908000001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461.14850000000001</v>
      </c>
      <c r="C4" s="4"/>
      <c r="D4" s="4"/>
      <c r="E4" s="4" t="s">
        <v>37</v>
      </c>
      <c r="F4" s="5">
        <v>625.02160000000003</v>
      </c>
      <c r="G4" s="4"/>
      <c r="H4" s="5">
        <v>578.36475000000007</v>
      </c>
      <c r="I4" s="4"/>
      <c r="J4" s="4" t="s">
        <v>38</v>
      </c>
    </row>
    <row r="5" spans="1:10" x14ac:dyDescent="0.35">
      <c r="A5" s="2" t="s">
        <v>39</v>
      </c>
      <c r="B5" s="12">
        <v>455.50380000000001</v>
      </c>
      <c r="C5" s="2"/>
      <c r="D5" s="2"/>
      <c r="E5" s="2" t="s">
        <v>40</v>
      </c>
      <c r="F5" s="12">
        <v>625.58620000000008</v>
      </c>
      <c r="G5" s="2"/>
      <c r="H5" s="12">
        <v>578.36475000000007</v>
      </c>
      <c r="I5" s="2"/>
      <c r="J5" s="2"/>
    </row>
    <row r="6" spans="1:10" x14ac:dyDescent="0.35">
      <c r="A6" s="4" t="s">
        <v>41</v>
      </c>
      <c r="B6" s="5">
        <v>563.57100000000003</v>
      </c>
      <c r="C6" s="4"/>
      <c r="D6" s="4"/>
      <c r="E6" s="4" t="s">
        <v>42</v>
      </c>
      <c r="F6" s="5">
        <v>522.5200000000001</v>
      </c>
      <c r="G6" s="4"/>
      <c r="H6" s="5">
        <v>578.36475000000007</v>
      </c>
      <c r="I6" s="4"/>
      <c r="J6" s="4"/>
    </row>
    <row r="7" spans="1:10" x14ac:dyDescent="0.35">
      <c r="A7" s="2" t="s">
        <v>43</v>
      </c>
      <c r="B7" s="12">
        <v>550.92129999999997</v>
      </c>
      <c r="C7" s="2"/>
      <c r="D7" s="2"/>
      <c r="E7" s="2" t="s">
        <v>44</v>
      </c>
      <c r="F7" s="12">
        <v>522.9393</v>
      </c>
      <c r="G7" s="2"/>
      <c r="H7" s="12">
        <v>578.36475000000007</v>
      </c>
      <c r="I7" s="2"/>
      <c r="J7" s="2"/>
    </row>
    <row r="8" spans="1:10" x14ac:dyDescent="0.35">
      <c r="A8" s="4" t="s">
        <v>45</v>
      </c>
      <c r="B8" s="5">
        <v>556.50670000000002</v>
      </c>
      <c r="C8" s="4"/>
      <c r="D8" s="4"/>
      <c r="E8" s="4" t="s">
        <v>46</v>
      </c>
      <c r="F8" s="5">
        <v>634.13270000000011</v>
      </c>
      <c r="G8" s="4"/>
      <c r="H8" s="5">
        <v>578.36475000000007</v>
      </c>
      <c r="I8" s="4"/>
      <c r="J8" s="4"/>
    </row>
    <row r="9" spans="1:10" x14ac:dyDescent="0.35">
      <c r="A9" s="2" t="s">
        <v>47</v>
      </c>
      <c r="B9" s="12">
        <v>543.50699999999995</v>
      </c>
      <c r="C9" s="2"/>
      <c r="D9" s="2"/>
      <c r="E9" s="2" t="s">
        <v>48</v>
      </c>
      <c r="F9" s="12">
        <v>627.79370000000006</v>
      </c>
      <c r="G9" s="2"/>
      <c r="H9" s="12">
        <v>578.36475000000007</v>
      </c>
      <c r="I9" s="2"/>
      <c r="J9" s="2"/>
    </row>
    <row r="10" spans="1:10" x14ac:dyDescent="0.35">
      <c r="A10" s="4" t="s">
        <v>49</v>
      </c>
      <c r="B10" s="5">
        <v>554.72490000000005</v>
      </c>
      <c r="C10" s="4"/>
      <c r="D10" s="4"/>
      <c r="E10" s="4" t="s">
        <v>50</v>
      </c>
      <c r="F10" s="5">
        <v>633.00520000000006</v>
      </c>
      <c r="G10" s="4"/>
      <c r="H10" s="5">
        <v>578.36475000000007</v>
      </c>
      <c r="I10" s="4"/>
      <c r="J10" s="4"/>
    </row>
    <row r="11" spans="1:10" x14ac:dyDescent="0.35">
      <c r="A11" s="2" t="s">
        <v>51</v>
      </c>
      <c r="B11" s="12">
        <v>463.85899999999998</v>
      </c>
      <c r="C11" s="2"/>
      <c r="D11" s="2"/>
      <c r="E11" s="2" t="s">
        <v>52</v>
      </c>
      <c r="F11" s="12">
        <v>630.03070000000002</v>
      </c>
      <c r="G11" s="2"/>
      <c r="H11" s="12">
        <v>578.36475000000007</v>
      </c>
      <c r="I11" s="2"/>
      <c r="J11" s="2"/>
    </row>
    <row r="12" spans="1:10" x14ac:dyDescent="0.35">
      <c r="A12" s="4" t="s">
        <v>53</v>
      </c>
      <c r="B12" s="5">
        <v>453.40100000000001</v>
      </c>
      <c r="C12" s="4"/>
      <c r="D12" s="4"/>
      <c r="E12" s="4" t="s">
        <v>54</v>
      </c>
      <c r="F12" s="5">
        <v>631.37400000000002</v>
      </c>
      <c r="G12" s="4"/>
      <c r="H12" s="5">
        <v>578.36475000000007</v>
      </c>
      <c r="I12" s="4"/>
      <c r="J12" s="4"/>
    </row>
    <row r="13" spans="1:10" x14ac:dyDescent="0.35">
      <c r="A13" s="2" t="s">
        <v>55</v>
      </c>
      <c r="B13" s="12">
        <v>555.22130000000004</v>
      </c>
      <c r="C13" s="2"/>
      <c r="D13" s="2"/>
      <c r="E13" s="2" t="s">
        <v>56</v>
      </c>
      <c r="F13" s="12">
        <v>533.1069</v>
      </c>
      <c r="G13" s="2"/>
      <c r="H13" s="12">
        <v>578.36475000000007</v>
      </c>
      <c r="I13" s="2"/>
      <c r="J13" s="2"/>
    </row>
    <row r="14" spans="1:10" x14ac:dyDescent="0.35">
      <c r="A14" s="4" t="s">
        <v>57</v>
      </c>
      <c r="B14" s="5">
        <v>551.94960000000003</v>
      </c>
      <c r="C14" s="4"/>
      <c r="D14" s="4"/>
      <c r="E14" s="4" t="s">
        <v>58</v>
      </c>
      <c r="F14" s="5">
        <v>521.82230000000004</v>
      </c>
      <c r="G14" s="4"/>
      <c r="H14" s="5">
        <v>578.36475000000007</v>
      </c>
      <c r="I14" s="4"/>
      <c r="J14" s="4"/>
    </row>
    <row r="15" spans="1:10" x14ac:dyDescent="0.35">
      <c r="A15" s="2" t="s">
        <v>59</v>
      </c>
      <c r="B15" s="12">
        <v>553.93650000000002</v>
      </c>
      <c r="C15" s="2"/>
      <c r="D15" s="2"/>
      <c r="E15" s="2" t="s">
        <v>60</v>
      </c>
      <c r="F15" s="12">
        <v>636.70240000000013</v>
      </c>
      <c r="G15" s="2"/>
      <c r="H15" s="12">
        <v>578.36475000000007</v>
      </c>
      <c r="I15" s="2"/>
      <c r="J15" s="2"/>
    </row>
    <row r="16" spans="1:10" x14ac:dyDescent="0.35">
      <c r="A16" s="4" t="s">
        <v>61</v>
      </c>
      <c r="B16" s="5">
        <v>545.68809999999996</v>
      </c>
      <c r="C16" s="4"/>
      <c r="D16" s="4"/>
      <c r="E16" s="4" t="s">
        <v>62</v>
      </c>
      <c r="F16" s="5">
        <v>639.46900000000005</v>
      </c>
      <c r="G16" s="4"/>
      <c r="H16" s="5">
        <v>578.36475000000007</v>
      </c>
      <c r="I16" s="4"/>
      <c r="J16" s="4"/>
    </row>
    <row r="17" spans="1:10" x14ac:dyDescent="0.35">
      <c r="A17" s="2" t="s">
        <v>63</v>
      </c>
      <c r="B17" s="12">
        <v>559.62130000000002</v>
      </c>
      <c r="C17" s="2"/>
      <c r="D17" s="2"/>
      <c r="E17" s="2" t="s">
        <v>64</v>
      </c>
      <c r="F17" s="12">
        <v>635.03280000000007</v>
      </c>
      <c r="G17" s="2"/>
      <c r="H17" s="12">
        <v>578.36475000000007</v>
      </c>
      <c r="I17" s="2"/>
      <c r="J17" s="2"/>
    </row>
    <row r="18" spans="1:10" x14ac:dyDescent="0.35">
      <c r="A18" s="4" t="s">
        <v>65</v>
      </c>
      <c r="B18" s="5">
        <v>456.20760000000001</v>
      </c>
      <c r="C18" s="4"/>
      <c r="D18" s="4"/>
      <c r="E18" s="4" t="s">
        <v>66</v>
      </c>
      <c r="F18" s="5">
        <v>643.47460000000001</v>
      </c>
      <c r="G18" s="4"/>
      <c r="H18" s="5">
        <v>578.36475000000007</v>
      </c>
      <c r="I18" s="4"/>
      <c r="J18" s="4"/>
    </row>
    <row r="19" spans="1:10" x14ac:dyDescent="0.35">
      <c r="A19" s="2" t="s">
        <v>67</v>
      </c>
      <c r="B19" s="12">
        <v>464.64600000000002</v>
      </c>
      <c r="C19" s="2"/>
      <c r="D19" s="2"/>
      <c r="E19" s="2" t="s">
        <v>68</v>
      </c>
      <c r="F19" s="12">
        <v>636.91560000000004</v>
      </c>
      <c r="G19" s="2"/>
      <c r="H19" s="12">
        <v>578.36475000000007</v>
      </c>
      <c r="I19" s="2"/>
      <c r="J19" s="2"/>
    </row>
    <row r="20" spans="1:10" x14ac:dyDescent="0.35">
      <c r="A20" s="4" t="s">
        <v>69</v>
      </c>
      <c r="B20" s="5">
        <v>563.87400000000002</v>
      </c>
      <c r="C20" s="4"/>
      <c r="D20" s="4"/>
      <c r="E20" s="4" t="s">
        <v>70</v>
      </c>
      <c r="F20" s="5">
        <v>524.8886</v>
      </c>
      <c r="G20" s="4"/>
      <c r="H20" s="5">
        <v>578.36475000000007</v>
      </c>
      <c r="I20" s="4"/>
      <c r="J20" s="4"/>
    </row>
    <row r="21" spans="1:10" ht="25" x14ac:dyDescent="0.35">
      <c r="A21" s="2" t="s">
        <v>71</v>
      </c>
      <c r="B21" s="12">
        <v>546.76220000000001</v>
      </c>
      <c r="C21" s="2"/>
      <c r="D21" s="2"/>
      <c r="E21" s="2" t="s">
        <v>72</v>
      </c>
      <c r="F21" s="12">
        <v>529.5489</v>
      </c>
      <c r="G21" s="2"/>
      <c r="H21" s="12">
        <v>578.36475000000007</v>
      </c>
      <c r="I21" s="2"/>
      <c r="J21" s="2" t="s">
        <v>73</v>
      </c>
    </row>
    <row r="22" spans="1:10" x14ac:dyDescent="0.35">
      <c r="A22" s="4" t="s">
        <v>74</v>
      </c>
      <c r="B22" s="5">
        <v>544.72749999999996</v>
      </c>
      <c r="C22" s="4"/>
      <c r="D22" s="4"/>
      <c r="E22" s="4" t="s">
        <v>75</v>
      </c>
      <c r="F22" s="5">
        <v>627.92690000000005</v>
      </c>
      <c r="G22" s="4"/>
      <c r="H22" s="5">
        <v>578.36475000000007</v>
      </c>
      <c r="I22" s="4"/>
      <c r="J22" s="4"/>
    </row>
    <row r="23" spans="1:10" x14ac:dyDescent="0.35">
      <c r="A23" s="2" t="s">
        <v>76</v>
      </c>
      <c r="B23" s="12">
        <v>555.17280000000005</v>
      </c>
      <c r="C23" s="2"/>
      <c r="D23" s="2"/>
      <c r="E23" s="2" t="s">
        <v>77</v>
      </c>
      <c r="F23" s="12">
        <v>642.00540000000001</v>
      </c>
      <c r="G23" s="2"/>
      <c r="H23" s="12">
        <v>578.36475000000007</v>
      </c>
      <c r="I23" s="2"/>
      <c r="J23" s="2"/>
    </row>
    <row r="24" spans="1:10" x14ac:dyDescent="0.35">
      <c r="A24" s="4" t="s">
        <v>78</v>
      </c>
      <c r="B24" s="5">
        <v>555.51290000000006</v>
      </c>
      <c r="C24" s="4"/>
      <c r="D24" s="4"/>
      <c r="E24" s="4" t="s">
        <v>79</v>
      </c>
      <c r="F24" s="5">
        <v>628.89940000000001</v>
      </c>
      <c r="G24" s="4"/>
      <c r="H24" s="5">
        <v>578.36475000000007</v>
      </c>
      <c r="I24" s="4"/>
      <c r="J24" s="4"/>
    </row>
    <row r="25" spans="1:10" x14ac:dyDescent="0.35">
      <c r="A25" s="2" t="s">
        <v>80</v>
      </c>
      <c r="B25" s="12">
        <v>456.7817</v>
      </c>
      <c r="C25" s="2"/>
      <c r="D25" s="2"/>
      <c r="E25" s="2" t="s">
        <v>81</v>
      </c>
      <c r="F25" s="12">
        <v>629.02320000000009</v>
      </c>
      <c r="G25" s="2"/>
      <c r="H25" s="12">
        <v>578.36475000000007</v>
      </c>
      <c r="I25" s="2"/>
      <c r="J25" s="2"/>
    </row>
    <row r="26" spans="1:10" x14ac:dyDescent="0.35">
      <c r="A26" s="4" t="s">
        <v>82</v>
      </c>
      <c r="B26" s="5">
        <v>452.0933</v>
      </c>
      <c r="C26" s="4"/>
      <c r="D26" s="4"/>
      <c r="E26" s="4" t="s">
        <v>83</v>
      </c>
      <c r="F26" s="5">
        <v>644.95950000000005</v>
      </c>
      <c r="G26" s="4"/>
      <c r="H26" s="5">
        <v>578.36475000000007</v>
      </c>
      <c r="I26" s="4"/>
      <c r="J26" s="4"/>
    </row>
    <row r="27" spans="1:10" x14ac:dyDescent="0.35">
      <c r="A27" s="2" t="s">
        <v>84</v>
      </c>
      <c r="B27" s="12">
        <v>555.11469999999997</v>
      </c>
      <c r="C27" s="2"/>
      <c r="D27" s="2"/>
      <c r="E27" s="2" t="s">
        <v>85</v>
      </c>
      <c r="F27" s="12">
        <v>532.54500000000007</v>
      </c>
      <c r="G27" s="2"/>
      <c r="H27" s="12">
        <v>578.36475000000007</v>
      </c>
      <c r="I27" s="2"/>
      <c r="J27" s="2"/>
    </row>
    <row r="28" spans="1:10" x14ac:dyDescent="0.35">
      <c r="A28" s="4" t="s">
        <v>86</v>
      </c>
      <c r="B28" s="5">
        <v>558.48099999999999</v>
      </c>
      <c r="C28" s="4"/>
      <c r="D28" s="4"/>
      <c r="E28" s="4" t="s">
        <v>87</v>
      </c>
      <c r="F28" s="5">
        <v>535.88990000000013</v>
      </c>
      <c r="G28" s="4"/>
      <c r="H28" s="5">
        <v>578.36475000000007</v>
      </c>
      <c r="I28" s="4"/>
      <c r="J28" s="4"/>
    </row>
    <row r="29" spans="1:10" x14ac:dyDescent="0.35">
      <c r="A29" s="2" t="s">
        <v>88</v>
      </c>
      <c r="B29" s="12">
        <v>553.61919999999998</v>
      </c>
      <c r="C29" s="2"/>
      <c r="D29" s="2"/>
      <c r="E29" s="2" t="s">
        <v>89</v>
      </c>
      <c r="F29" s="12">
        <v>631.09440000000006</v>
      </c>
      <c r="G29" s="2"/>
      <c r="H29" s="12">
        <v>578.36475000000007</v>
      </c>
      <c r="I29" s="2"/>
      <c r="J29" s="2"/>
    </row>
    <row r="30" spans="1:10" x14ac:dyDescent="0.35">
      <c r="A30" s="4" t="s">
        <v>90</v>
      </c>
      <c r="B30" s="5">
        <v>551.22130000000004</v>
      </c>
      <c r="C30" s="4"/>
      <c r="D30" s="4"/>
      <c r="E30" s="4" t="s">
        <v>91</v>
      </c>
      <c r="F30" s="4"/>
      <c r="G30" s="5">
        <v>606.34525700000006</v>
      </c>
      <c r="H30" s="5">
        <v>578.36475000000007</v>
      </c>
      <c r="I30" s="4"/>
      <c r="J30" s="4"/>
    </row>
    <row r="31" spans="1:10" x14ac:dyDescent="0.35">
      <c r="A31" s="2" t="s">
        <v>92</v>
      </c>
      <c r="B31" s="12">
        <v>545.29280000000006</v>
      </c>
      <c r="C31" s="2"/>
      <c r="D31" s="2"/>
      <c r="E31" s="2" t="s">
        <v>93</v>
      </c>
      <c r="F31" s="2"/>
      <c r="G31" s="12">
        <v>606.34525700000006</v>
      </c>
      <c r="H31" s="12">
        <v>578.36475000000007</v>
      </c>
      <c r="I31" s="2"/>
      <c r="J31" s="2"/>
    </row>
    <row r="32" spans="1:10" x14ac:dyDescent="0.35">
      <c r="A32" s="4" t="s">
        <v>94</v>
      </c>
      <c r="B32" s="5">
        <v>460.24250000000001</v>
      </c>
      <c r="C32" s="4"/>
      <c r="D32" s="4"/>
      <c r="E32" s="4" t="s">
        <v>95</v>
      </c>
      <c r="F32" s="4"/>
      <c r="G32" s="5">
        <v>606.34525700000006</v>
      </c>
      <c r="H32" s="5">
        <v>578.36475000000007</v>
      </c>
      <c r="I32" s="4"/>
      <c r="J32" s="4"/>
    </row>
    <row r="33" spans="1:10" x14ac:dyDescent="0.35">
      <c r="A33" s="2" t="s">
        <v>96</v>
      </c>
      <c r="B33" s="12">
        <v>462.1037</v>
      </c>
      <c r="C33" s="2"/>
      <c r="D33" s="2"/>
      <c r="E33" s="2" t="s">
        <v>97</v>
      </c>
      <c r="F33" s="2"/>
      <c r="G33" s="12">
        <v>606.34525700000006</v>
      </c>
      <c r="H33" s="12">
        <v>578.36475000000007</v>
      </c>
      <c r="I33" s="2"/>
      <c r="J33" s="2"/>
    </row>
    <row r="34" spans="1:10" x14ac:dyDescent="0.35">
      <c r="A34" s="4" t="s">
        <v>98</v>
      </c>
      <c r="B34" s="5">
        <v>544.94809999999995</v>
      </c>
      <c r="C34" s="4"/>
      <c r="D34" s="4"/>
      <c r="E34" s="4" t="s">
        <v>99</v>
      </c>
      <c r="F34" s="4"/>
      <c r="G34" s="5">
        <v>424.44168000000002</v>
      </c>
      <c r="H34" s="5">
        <v>578.36475000000007</v>
      </c>
      <c r="I34" s="4"/>
      <c r="J34" s="4"/>
    </row>
    <row r="35" spans="1:10" x14ac:dyDescent="0.35">
      <c r="A35" s="2" t="s">
        <v>100</v>
      </c>
      <c r="B35" s="2"/>
      <c r="C35" s="12">
        <v>553.49680000000001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559.88810000000001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555.70730000000003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571.92809999999997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459.32940000000002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466.36869999999999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565.64239999999995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586.09050000000002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597.45690000000002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598.43500000000006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592.74289999999996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497.28289999999998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502.35759999999999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599.6875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636.48860000000002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617.72800000000007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631.40219999999999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632.36149999999998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524.0258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520.97580000000005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621.6232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619.85619999999994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628.68520000000001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627.81989999999996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640.27930000000003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522.6558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525.76089999999999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637.30960000000005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622.77660000000003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634.77980000000002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9893.9446000000007</v>
      </c>
      <c r="C68" s="5">
        <v>9986.268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71.957000000000107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-25.199999999999822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616.38940000000002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9429.7855999999992</v>
      </c>
      <c r="D4" s="5">
        <v>9664.9979999999996</v>
      </c>
      <c r="E4" s="10">
        <f>D4-C4</f>
        <v>235.21240000000034</v>
      </c>
      <c r="F4" s="9">
        <f>D4/C4-1</f>
        <v>2.4943557571446728E-2</v>
      </c>
      <c r="G4" s="10">
        <f>C4/31</f>
        <v>304.18663225806449</v>
      </c>
      <c r="H4" s="10">
        <f>D4/30</f>
        <v>322.16659999999996</v>
      </c>
      <c r="I4" s="9">
        <f>H4/G4-1</f>
        <v>5.9108342823828375E-2</v>
      </c>
      <c r="J4" s="5">
        <v>9664.9979999999996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9893.9446000000007</v>
      </c>
      <c r="C4" s="5">
        <v>9986.268</v>
      </c>
      <c r="D4" s="10">
        <f>C4-B4</f>
        <v>92.32339999999931</v>
      </c>
      <c r="E4" s="9">
        <f>C4/B4-1</f>
        <v>9.3313035126554311E-3</v>
      </c>
      <c r="F4" s="10">
        <f>B4/31</f>
        <v>319.15950322580647</v>
      </c>
      <c r="G4" s="10">
        <f>C4/30</f>
        <v>332.87560000000002</v>
      </c>
      <c r="H4" s="9">
        <f>G4/F4-1</f>
        <v>4.2975680296410745E-2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2638.2240000000002</v>
      </c>
      <c r="C6" s="5">
        <v>2613.0239999999999</v>
      </c>
      <c r="D6" s="10">
        <f t="shared" si="0"/>
        <v>-25.200000000000273</v>
      </c>
      <c r="E6" s="9">
        <f t="shared" si="1"/>
        <v>-9.5518803558758414E-3</v>
      </c>
      <c r="F6" s="10">
        <f t="shared" si="2"/>
        <v>85.103999999999999</v>
      </c>
      <c r="G6" s="10">
        <f t="shared" si="3"/>
        <v>87.100799999999992</v>
      </c>
      <c r="H6" s="9">
        <f t="shared" si="4"/>
        <v>2.3463056965594919E-2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727.19399999999996</v>
      </c>
      <c r="C10" s="5">
        <v>799.15100000000007</v>
      </c>
      <c r="D10" s="10">
        <f t="shared" si="0"/>
        <v>71.957000000000107</v>
      </c>
      <c r="E10" s="9">
        <f t="shared" si="1"/>
        <v>9.8951586509239853E-2</v>
      </c>
      <c r="F10" s="10">
        <f t="shared" si="2"/>
        <v>23.457870967741933</v>
      </c>
      <c r="G10" s="10">
        <f t="shared" si="3"/>
        <v>26.63836666666667</v>
      </c>
      <c r="H10" s="9">
        <f t="shared" si="4"/>
        <v>0.13558330605954794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11438.662200000001</v>
      </c>
      <c r="C4" s="5">
        <v>12055.051600000001</v>
      </c>
      <c r="D4" s="10">
        <f>C4-B4</f>
        <v>616.38940000000002</v>
      </c>
      <c r="E4" s="9">
        <f>C4/C6</f>
        <v>0.69477791192034666</v>
      </c>
      <c r="F4" s="10">
        <f>B4/31</f>
        <v>368.98910322580645</v>
      </c>
      <c r="G4" s="10">
        <f>C4/30</f>
        <v>401.83505333333335</v>
      </c>
      <c r="H4" s="9">
        <f>G4/F4-1</f>
        <v>8.901604361857407E-2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0.30522208807965329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16196.3613</v>
      </c>
      <c r="C6" s="10">
        <f>SUM(C4:C5)</f>
        <v>17350.942500000001</v>
      </c>
      <c r="D6" s="10">
        <f>C6-B6</f>
        <v>1154.5812000000005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212.73439999999999</v>
      </c>
      <c r="D9" s="12">
        <v>216.63239999999999</v>
      </c>
      <c r="E9" s="8">
        <f t="shared" si="0"/>
        <v>3.8979999999999961</v>
      </c>
      <c r="F9" s="12">
        <v>0</v>
      </c>
      <c r="G9" s="12">
        <v>0</v>
      </c>
      <c r="H9" s="12">
        <v>10.760438148399411</v>
      </c>
      <c r="I9" s="12">
        <v>-6.8624000000000107</v>
      </c>
      <c r="J9" s="12">
        <v>-3.8148399404747117E-5</v>
      </c>
      <c r="K9" s="8">
        <f t="shared" si="1"/>
        <v>3.8979999999999952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1590.672</v>
      </c>
      <c r="D11" s="12">
        <v>1539.36</v>
      </c>
      <c r="E11" s="8">
        <f t="shared" si="0"/>
        <v>-51.312000000000126</v>
      </c>
      <c r="F11" s="12">
        <v>0</v>
      </c>
      <c r="G11" s="12">
        <v>0</v>
      </c>
      <c r="H11" s="12">
        <v>0</v>
      </c>
      <c r="I11" s="12">
        <v>-51.311999999999998</v>
      </c>
      <c r="J11" s="12">
        <v>0</v>
      </c>
      <c r="K11" s="8">
        <f t="shared" si="1"/>
        <v>-51.311999999999998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122.202</v>
      </c>
      <c r="G12" s="5">
        <v>118.26</v>
      </c>
      <c r="H12" s="5">
        <v>6.1999979999999999</v>
      </c>
      <c r="I12" s="5">
        <v>6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738.048</v>
      </c>
      <c r="G14" s="5">
        <v>714.24</v>
      </c>
      <c r="H14" s="5">
        <v>2976</v>
      </c>
      <c r="I14" s="5">
        <v>2880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1590.672</v>
      </c>
      <c r="E10" s="5">
        <v>1539.36</v>
      </c>
      <c r="F10" s="10">
        <f t="shared" si="0"/>
        <v>-51.312000000000126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212.73439999999999</v>
      </c>
      <c r="E22" s="5">
        <v>216.63239999999999</v>
      </c>
      <c r="F22" s="10">
        <f t="shared" si="0"/>
        <v>3.8979999999999961</v>
      </c>
      <c r="G22" s="14">
        <v>1.8323317714483481E-2</v>
      </c>
      <c r="H22" s="14">
        <v>5.2267428304966217E-2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>D5-C5</f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>D6-C6</f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>D7-C7</f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>D8-C8</f>
        <v>-11.699999999999989</v>
      </c>
      <c r="F8" s="5">
        <v>-3.2258064516128997E-2</v>
      </c>
    </row>
  </sheetData>
  <autoFilter ref="A3:F8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250</v>
      </c>
      <c r="B1" s="17"/>
      <c r="C1" s="17"/>
      <c r="D1" s="17"/>
      <c r="E1" s="17"/>
      <c r="F1" s="17"/>
    </row>
    <row r="2" spans="1:6" ht="52" customHeight="1" x14ac:dyDescent="0.35">
      <c r="A2" s="18" t="s">
        <v>251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252</v>
      </c>
      <c r="D3" s="3" t="s">
        <v>138</v>
      </c>
      <c r="E3" s="3" t="s">
        <v>32</v>
      </c>
      <c r="F3" s="3" t="s">
        <v>253</v>
      </c>
    </row>
    <row r="4" spans="1:6" ht="87.5" x14ac:dyDescent="0.35">
      <c r="A4" s="4" t="s">
        <v>159</v>
      </c>
      <c r="B4" s="4" t="s">
        <v>247</v>
      </c>
      <c r="C4" s="4" t="s">
        <v>254</v>
      </c>
      <c r="D4" s="4" t="s">
        <v>142</v>
      </c>
      <c r="E4" s="5">
        <v>3556.306</v>
      </c>
      <c r="F4" s="4" t="s">
        <v>255</v>
      </c>
    </row>
    <row r="5" spans="1:6" ht="87.5" x14ac:dyDescent="0.35">
      <c r="A5" s="2" t="s">
        <v>159</v>
      </c>
      <c r="B5" s="2" t="s">
        <v>247</v>
      </c>
      <c r="C5" s="2" t="s">
        <v>256</v>
      </c>
      <c r="D5" s="2" t="s">
        <v>145</v>
      </c>
      <c r="E5" s="12">
        <v>2822.6995999999999</v>
      </c>
      <c r="F5" s="2" t="s">
        <v>257</v>
      </c>
    </row>
    <row r="6" spans="1:6" ht="87.5" x14ac:dyDescent="0.35">
      <c r="A6" s="4" t="s">
        <v>162</v>
      </c>
      <c r="B6" s="4" t="s">
        <v>245</v>
      </c>
      <c r="C6" s="4" t="s">
        <v>258</v>
      </c>
      <c r="D6" s="4" t="s">
        <v>142</v>
      </c>
      <c r="E6" s="5">
        <v>1815.528</v>
      </c>
      <c r="F6" s="4" t="s">
        <v>259</v>
      </c>
    </row>
    <row r="7" spans="1:6" ht="87.5" x14ac:dyDescent="0.35">
      <c r="A7" s="2" t="s">
        <v>162</v>
      </c>
      <c r="B7" s="2" t="s">
        <v>245</v>
      </c>
      <c r="C7" s="2" t="s">
        <v>260</v>
      </c>
      <c r="D7" s="2" t="s">
        <v>140</v>
      </c>
      <c r="E7" s="12">
        <v>1245</v>
      </c>
      <c r="F7" s="2" t="s">
        <v>261</v>
      </c>
    </row>
    <row r="8" spans="1:6" ht="87.5" x14ac:dyDescent="0.35">
      <c r="A8" s="4" t="s">
        <v>162</v>
      </c>
      <c r="B8" s="4" t="s">
        <v>245</v>
      </c>
      <c r="C8" s="4" t="s">
        <v>262</v>
      </c>
      <c r="D8" s="4" t="s">
        <v>141</v>
      </c>
      <c r="E8" s="5">
        <v>1187.5338999999999</v>
      </c>
      <c r="F8" s="4" t="s">
        <v>263</v>
      </c>
    </row>
    <row r="9" spans="1:6" ht="87.5" x14ac:dyDescent="0.35">
      <c r="A9" s="2" t="s">
        <v>159</v>
      </c>
      <c r="B9" s="2" t="s">
        <v>247</v>
      </c>
      <c r="C9" s="2" t="s">
        <v>264</v>
      </c>
      <c r="D9" s="2" t="s">
        <v>144</v>
      </c>
      <c r="E9" s="12">
        <v>708</v>
      </c>
      <c r="F9" s="2" t="s">
        <v>265</v>
      </c>
    </row>
    <row r="10" spans="1:6" ht="87.5" x14ac:dyDescent="0.35">
      <c r="A10" s="4" t="s">
        <v>164</v>
      </c>
      <c r="B10" s="4" t="s">
        <v>246</v>
      </c>
      <c r="C10" s="4" t="s">
        <v>266</v>
      </c>
      <c r="D10" s="4" t="s">
        <v>144</v>
      </c>
      <c r="E10" s="5">
        <v>708</v>
      </c>
      <c r="F10" s="4" t="s">
        <v>267</v>
      </c>
    </row>
    <row r="11" spans="1:6" ht="87.5" x14ac:dyDescent="0.35">
      <c r="A11" s="2" t="s">
        <v>164</v>
      </c>
      <c r="B11" s="2" t="s">
        <v>246</v>
      </c>
      <c r="C11" s="2" t="s">
        <v>268</v>
      </c>
      <c r="D11" s="2" t="s">
        <v>140</v>
      </c>
      <c r="E11" s="12">
        <v>572.70000000000005</v>
      </c>
      <c r="F11" s="2" t="s">
        <v>269</v>
      </c>
    </row>
    <row r="12" spans="1:6" ht="87.5" x14ac:dyDescent="0.35">
      <c r="A12" s="4" t="s">
        <v>162</v>
      </c>
      <c r="B12" s="4" t="s">
        <v>245</v>
      </c>
      <c r="C12" s="4" t="s">
        <v>270</v>
      </c>
      <c r="D12" s="4" t="s">
        <v>143</v>
      </c>
      <c r="E12" s="5">
        <v>477.65199999999999</v>
      </c>
      <c r="F12" s="4" t="s">
        <v>271</v>
      </c>
    </row>
    <row r="13" spans="1:6" ht="87.5" x14ac:dyDescent="0.35">
      <c r="A13" s="2" t="s">
        <v>159</v>
      </c>
      <c r="B13" s="2" t="s">
        <v>247</v>
      </c>
      <c r="C13" s="2" t="s">
        <v>272</v>
      </c>
      <c r="D13" s="2" t="s">
        <v>146</v>
      </c>
      <c r="E13" s="12">
        <v>468</v>
      </c>
      <c r="F13" s="2" t="s">
        <v>273</v>
      </c>
    </row>
    <row r="14" spans="1:6" ht="75" x14ac:dyDescent="0.35">
      <c r="A14" s="4" t="s">
        <v>159</v>
      </c>
      <c r="B14" s="4" t="s">
        <v>247</v>
      </c>
      <c r="C14" s="4" t="s">
        <v>274</v>
      </c>
      <c r="D14" s="4" t="s">
        <v>147</v>
      </c>
      <c r="E14" s="5">
        <v>396</v>
      </c>
      <c r="F14" s="4" t="s">
        <v>275</v>
      </c>
    </row>
    <row r="15" spans="1:6" ht="87.5" x14ac:dyDescent="0.35">
      <c r="A15" s="2" t="s">
        <v>162</v>
      </c>
      <c r="B15" s="2" t="s">
        <v>245</v>
      </c>
      <c r="C15" s="2" t="s">
        <v>276</v>
      </c>
      <c r="D15" s="2" t="s">
        <v>146</v>
      </c>
      <c r="E15" s="12">
        <v>362.88</v>
      </c>
      <c r="F15" s="2" t="s">
        <v>277</v>
      </c>
    </row>
    <row r="16" spans="1:6" ht="87.5" x14ac:dyDescent="0.35">
      <c r="A16" s="4" t="s">
        <v>159</v>
      </c>
      <c r="B16" s="4" t="s">
        <v>247</v>
      </c>
      <c r="C16" s="4" t="s">
        <v>278</v>
      </c>
      <c r="D16" s="4" t="s">
        <v>146</v>
      </c>
      <c r="E16" s="5">
        <v>357.12</v>
      </c>
      <c r="F16" s="4" t="s">
        <v>279</v>
      </c>
    </row>
    <row r="17" spans="1:6" ht="87.5" x14ac:dyDescent="0.35">
      <c r="A17" s="2" t="s">
        <v>159</v>
      </c>
      <c r="B17" s="2" t="s">
        <v>247</v>
      </c>
      <c r="C17" s="2" t="s">
        <v>256</v>
      </c>
      <c r="D17" s="2" t="s">
        <v>148</v>
      </c>
      <c r="E17" s="12">
        <v>354</v>
      </c>
      <c r="F17" s="2" t="s">
        <v>257</v>
      </c>
    </row>
    <row r="18" spans="1:6" ht="87.5" x14ac:dyDescent="0.35">
      <c r="A18" s="4" t="s">
        <v>166</v>
      </c>
      <c r="B18" s="4" t="s">
        <v>249</v>
      </c>
      <c r="C18" s="4" t="s">
        <v>280</v>
      </c>
      <c r="D18" s="4" t="s">
        <v>149</v>
      </c>
      <c r="E18" s="5">
        <v>351</v>
      </c>
      <c r="F18" s="4" t="s">
        <v>281</v>
      </c>
    </row>
    <row r="19" spans="1:6" ht="87.5" x14ac:dyDescent="0.35">
      <c r="A19" s="2" t="s">
        <v>159</v>
      </c>
      <c r="B19" s="2" t="s">
        <v>247</v>
      </c>
      <c r="C19" s="2" t="s">
        <v>282</v>
      </c>
      <c r="D19" s="2" t="s">
        <v>146</v>
      </c>
      <c r="E19" s="12">
        <v>178.56</v>
      </c>
      <c r="F19" s="2" t="s">
        <v>283</v>
      </c>
    </row>
    <row r="20" spans="1:6" ht="87.5" x14ac:dyDescent="0.35">
      <c r="A20" s="4" t="s">
        <v>159</v>
      </c>
      <c r="B20" s="4" t="s">
        <v>247</v>
      </c>
      <c r="C20" s="4" t="s">
        <v>284</v>
      </c>
      <c r="D20" s="4" t="s">
        <v>146</v>
      </c>
      <c r="E20" s="5">
        <v>178.56</v>
      </c>
      <c r="F20" s="4" t="s">
        <v>285</v>
      </c>
    </row>
    <row r="21" spans="1:6" ht="87.5" x14ac:dyDescent="0.35">
      <c r="A21" s="2" t="s">
        <v>159</v>
      </c>
      <c r="B21" s="2" t="s">
        <v>247</v>
      </c>
      <c r="C21" s="2" t="s">
        <v>286</v>
      </c>
      <c r="D21" s="2" t="s">
        <v>146</v>
      </c>
      <c r="E21" s="12">
        <v>178.56</v>
      </c>
      <c r="F21" s="2" t="s">
        <v>287</v>
      </c>
    </row>
    <row r="22" spans="1:6" ht="87.5" x14ac:dyDescent="0.35">
      <c r="A22" s="4" t="s">
        <v>159</v>
      </c>
      <c r="B22" s="4" t="s">
        <v>247</v>
      </c>
      <c r="C22" s="4" t="s">
        <v>288</v>
      </c>
      <c r="D22" s="4" t="s">
        <v>146</v>
      </c>
      <c r="E22" s="5">
        <v>178.56</v>
      </c>
      <c r="F22" s="4" t="s">
        <v>289</v>
      </c>
    </row>
    <row r="23" spans="1:6" ht="87.5" x14ac:dyDescent="0.35">
      <c r="A23" s="2" t="s">
        <v>168</v>
      </c>
      <c r="B23" s="2" t="s">
        <v>248</v>
      </c>
      <c r="C23" s="2" t="s">
        <v>290</v>
      </c>
      <c r="D23" s="2" t="s">
        <v>146</v>
      </c>
      <c r="E23" s="12">
        <v>178.56</v>
      </c>
      <c r="F23" s="2" t="s">
        <v>291</v>
      </c>
    </row>
    <row r="24" spans="1:6" ht="87.5" x14ac:dyDescent="0.35">
      <c r="A24" s="4" t="s">
        <v>164</v>
      </c>
      <c r="B24" s="4" t="s">
        <v>246</v>
      </c>
      <c r="C24" s="4" t="s">
        <v>292</v>
      </c>
      <c r="D24" s="4" t="s">
        <v>146</v>
      </c>
      <c r="E24" s="5">
        <v>178.56</v>
      </c>
      <c r="F24" s="4" t="s">
        <v>293</v>
      </c>
    </row>
    <row r="25" spans="1:6" ht="87.5" x14ac:dyDescent="0.35">
      <c r="A25" s="2" t="s">
        <v>164</v>
      </c>
      <c r="B25" s="2" t="s">
        <v>246</v>
      </c>
      <c r="C25" s="2" t="s">
        <v>294</v>
      </c>
      <c r="D25" s="2" t="s">
        <v>146</v>
      </c>
      <c r="E25" s="12">
        <v>178.56</v>
      </c>
      <c r="F25" s="2" t="s">
        <v>295</v>
      </c>
    </row>
    <row r="26" spans="1:6" ht="87.5" x14ac:dyDescent="0.35">
      <c r="A26" s="4" t="s">
        <v>162</v>
      </c>
      <c r="B26" s="4" t="s">
        <v>245</v>
      </c>
      <c r="C26" s="4" t="s">
        <v>296</v>
      </c>
      <c r="D26" s="4" t="s">
        <v>146</v>
      </c>
      <c r="E26" s="5">
        <v>175.10400000000001</v>
      </c>
      <c r="F26" s="4" t="s">
        <v>297</v>
      </c>
    </row>
    <row r="27" spans="1:6" ht="87.5" x14ac:dyDescent="0.35">
      <c r="A27" s="2" t="s">
        <v>168</v>
      </c>
      <c r="B27" s="2" t="s">
        <v>248</v>
      </c>
      <c r="C27" s="2" t="s">
        <v>298</v>
      </c>
      <c r="D27" s="2" t="s">
        <v>144</v>
      </c>
      <c r="E27" s="12">
        <v>123</v>
      </c>
      <c r="F27" s="2" t="s">
        <v>299</v>
      </c>
    </row>
    <row r="28" spans="1:6" ht="87.5" x14ac:dyDescent="0.35">
      <c r="A28" s="4" t="s">
        <v>159</v>
      </c>
      <c r="B28" s="4" t="s">
        <v>247</v>
      </c>
      <c r="C28" s="4" t="s">
        <v>300</v>
      </c>
      <c r="D28" s="4" t="s">
        <v>143</v>
      </c>
      <c r="E28" s="5">
        <v>98.372399999999999</v>
      </c>
      <c r="F28" s="4" t="s">
        <v>301</v>
      </c>
    </row>
    <row r="29" spans="1:6" ht="87.5" x14ac:dyDescent="0.35">
      <c r="A29" s="2" t="s">
        <v>159</v>
      </c>
      <c r="B29" s="2" t="s">
        <v>247</v>
      </c>
      <c r="C29" s="2" t="s">
        <v>302</v>
      </c>
      <c r="D29" s="2" t="s">
        <v>176</v>
      </c>
      <c r="E29" s="12">
        <v>72</v>
      </c>
      <c r="F29" s="2" t="s">
        <v>303</v>
      </c>
    </row>
    <row r="30" spans="1:6" ht="75" x14ac:dyDescent="0.35">
      <c r="A30" s="4" t="s">
        <v>164</v>
      </c>
      <c r="B30" s="4" t="s">
        <v>246</v>
      </c>
      <c r="C30" s="4" t="s">
        <v>304</v>
      </c>
      <c r="D30" s="4" t="s">
        <v>177</v>
      </c>
      <c r="E30" s="5">
        <v>27</v>
      </c>
      <c r="F30" s="4" t="s">
        <v>305</v>
      </c>
    </row>
    <row r="31" spans="1:6" ht="87.5" x14ac:dyDescent="0.35">
      <c r="A31" s="2" t="s">
        <v>159</v>
      </c>
      <c r="B31" s="2" t="s">
        <v>247</v>
      </c>
      <c r="C31" s="2" t="s">
        <v>306</v>
      </c>
      <c r="D31" s="2" t="s">
        <v>143</v>
      </c>
      <c r="E31" s="12">
        <v>19.71</v>
      </c>
      <c r="F31" s="2" t="s">
        <v>307</v>
      </c>
    </row>
    <row r="32" spans="1:6" ht="87.5" x14ac:dyDescent="0.35">
      <c r="A32" s="4" t="s">
        <v>159</v>
      </c>
      <c r="B32" s="4" t="s">
        <v>247</v>
      </c>
      <c r="C32" s="4" t="s">
        <v>308</v>
      </c>
      <c r="D32" s="4" t="s">
        <v>143</v>
      </c>
      <c r="E32" s="5">
        <v>19.71</v>
      </c>
      <c r="F32" s="4" t="s">
        <v>309</v>
      </c>
    </row>
    <row r="33" spans="1:6" ht="87.5" x14ac:dyDescent="0.35">
      <c r="A33" s="2" t="s">
        <v>159</v>
      </c>
      <c r="B33" s="2" t="s">
        <v>247</v>
      </c>
      <c r="C33" s="2" t="s">
        <v>310</v>
      </c>
      <c r="D33" s="2" t="s">
        <v>143</v>
      </c>
      <c r="E33" s="12">
        <v>19.71</v>
      </c>
      <c r="F33" s="2" t="s">
        <v>311</v>
      </c>
    </row>
    <row r="34" spans="1:6" ht="87.5" x14ac:dyDescent="0.35">
      <c r="A34" s="4" t="s">
        <v>159</v>
      </c>
      <c r="B34" s="4" t="s">
        <v>247</v>
      </c>
      <c r="C34" s="4" t="s">
        <v>312</v>
      </c>
      <c r="D34" s="4" t="s">
        <v>143</v>
      </c>
      <c r="E34" s="5">
        <v>19.71</v>
      </c>
      <c r="F34" s="4" t="s">
        <v>313</v>
      </c>
    </row>
    <row r="35" spans="1:6" ht="87.5" x14ac:dyDescent="0.35">
      <c r="A35" s="2" t="s">
        <v>159</v>
      </c>
      <c r="B35" s="2" t="s">
        <v>247</v>
      </c>
      <c r="C35" s="2" t="s">
        <v>314</v>
      </c>
      <c r="D35" s="2" t="s">
        <v>143</v>
      </c>
      <c r="E35" s="12">
        <v>19.71</v>
      </c>
      <c r="F35" s="2" t="s">
        <v>315</v>
      </c>
    </row>
    <row r="36" spans="1:6" ht="87.5" x14ac:dyDescent="0.35">
      <c r="A36" s="4" t="s">
        <v>159</v>
      </c>
      <c r="B36" s="4" t="s">
        <v>247</v>
      </c>
      <c r="C36" s="4" t="s">
        <v>316</v>
      </c>
      <c r="D36" s="4" t="s">
        <v>143</v>
      </c>
      <c r="E36" s="5">
        <v>19.71</v>
      </c>
      <c r="F36" s="4" t="s">
        <v>317</v>
      </c>
    </row>
    <row r="37" spans="1:6" ht="87.5" x14ac:dyDescent="0.35">
      <c r="A37" s="2" t="s">
        <v>168</v>
      </c>
      <c r="B37" s="2" t="s">
        <v>248</v>
      </c>
      <c r="C37" s="2" t="s">
        <v>318</v>
      </c>
      <c r="D37" s="2" t="s">
        <v>143</v>
      </c>
      <c r="E37" s="12">
        <v>19.71</v>
      </c>
      <c r="F37" s="2" t="s">
        <v>319</v>
      </c>
    </row>
    <row r="38" spans="1:6" ht="75" x14ac:dyDescent="0.35">
      <c r="A38" s="4" t="s">
        <v>164</v>
      </c>
      <c r="B38" s="4" t="s">
        <v>246</v>
      </c>
      <c r="C38" s="4" t="s">
        <v>320</v>
      </c>
      <c r="D38" s="4" t="s">
        <v>143</v>
      </c>
      <c r="E38" s="5">
        <v>19.71</v>
      </c>
      <c r="F38" s="4" t="s">
        <v>321</v>
      </c>
    </row>
    <row r="39" spans="1:6" ht="75" x14ac:dyDescent="0.35">
      <c r="A39" s="2" t="s">
        <v>164</v>
      </c>
      <c r="B39" s="2" t="s">
        <v>246</v>
      </c>
      <c r="C39" s="2" t="s">
        <v>322</v>
      </c>
      <c r="D39" s="2" t="s">
        <v>143</v>
      </c>
      <c r="E39" s="12">
        <v>19.71</v>
      </c>
      <c r="F39" s="2" t="s">
        <v>323</v>
      </c>
    </row>
    <row r="40" spans="1:6" ht="75" x14ac:dyDescent="0.35">
      <c r="A40" s="4" t="s">
        <v>162</v>
      </c>
      <c r="B40" s="4" t="s">
        <v>245</v>
      </c>
      <c r="C40" s="4" t="s">
        <v>324</v>
      </c>
      <c r="D40" s="4" t="s">
        <v>143</v>
      </c>
      <c r="E40" s="5">
        <v>19.71</v>
      </c>
      <c r="F40" s="4" t="s">
        <v>325</v>
      </c>
    </row>
    <row r="41" spans="1:6" ht="87.5" x14ac:dyDescent="0.35">
      <c r="A41" s="2" t="s">
        <v>164</v>
      </c>
      <c r="B41" s="2" t="s">
        <v>246</v>
      </c>
      <c r="C41" s="2" t="s">
        <v>326</v>
      </c>
      <c r="D41" s="2" t="s">
        <v>143</v>
      </c>
      <c r="E41" s="12">
        <v>13.5436</v>
      </c>
      <c r="F41" s="2" t="s">
        <v>327</v>
      </c>
    </row>
    <row r="42" spans="1:6" ht="87.5" x14ac:dyDescent="0.35">
      <c r="A42" s="4" t="s">
        <v>162</v>
      </c>
      <c r="B42" s="4" t="s">
        <v>245</v>
      </c>
      <c r="C42" s="4" t="s">
        <v>328</v>
      </c>
      <c r="D42" s="4" t="s">
        <v>143</v>
      </c>
      <c r="E42" s="5">
        <v>12.483000000000001</v>
      </c>
      <c r="F42" s="4" t="s">
        <v>329</v>
      </c>
    </row>
  </sheetData>
  <autoFilter ref="A3:F42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330</v>
      </c>
      <c r="B1" s="17"/>
      <c r="C1" s="17"/>
    </row>
    <row r="2" spans="1:3" ht="52" customHeight="1" x14ac:dyDescent="0.35">
      <c r="A2" s="18" t="s">
        <v>331</v>
      </c>
      <c r="B2" s="18"/>
      <c r="C2" s="18"/>
    </row>
    <row r="3" spans="1:3" ht="48" customHeight="1" x14ac:dyDescent="0.35">
      <c r="A3" s="3" t="s">
        <v>332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461.14850000000001</v>
      </c>
      <c r="C4" s="5">
        <v>553.49680000000001</v>
      </c>
    </row>
    <row r="5" spans="1:3" x14ac:dyDescent="0.35">
      <c r="A5" s="12">
        <v>2</v>
      </c>
      <c r="B5" s="12">
        <v>455.50380000000001</v>
      </c>
      <c r="C5" s="12">
        <v>559.88810000000001</v>
      </c>
    </row>
    <row r="6" spans="1:3" x14ac:dyDescent="0.35">
      <c r="A6" s="5">
        <v>3</v>
      </c>
      <c r="B6" s="5">
        <v>563.57100000000003</v>
      </c>
      <c r="C6" s="5">
        <v>555.70730000000003</v>
      </c>
    </row>
    <row r="7" spans="1:3" x14ac:dyDescent="0.35">
      <c r="A7" s="12">
        <v>4</v>
      </c>
      <c r="B7" s="12">
        <v>550.92129999999997</v>
      </c>
      <c r="C7" s="12">
        <v>571.92809999999997</v>
      </c>
    </row>
    <row r="8" spans="1:3" x14ac:dyDescent="0.35">
      <c r="A8" s="5">
        <v>5</v>
      </c>
      <c r="B8" s="5">
        <v>556.50670000000002</v>
      </c>
      <c r="C8" s="5">
        <v>459.32940000000002</v>
      </c>
    </row>
    <row r="9" spans="1:3" x14ac:dyDescent="0.35">
      <c r="A9" s="12">
        <v>6</v>
      </c>
      <c r="B9" s="12">
        <v>543.50699999999995</v>
      </c>
      <c r="C9" s="12">
        <v>466.36869999999999</v>
      </c>
    </row>
    <row r="10" spans="1:3" x14ac:dyDescent="0.35">
      <c r="A10" s="5">
        <v>7</v>
      </c>
      <c r="B10" s="5">
        <v>554.72490000000005</v>
      </c>
      <c r="C10" s="5">
        <v>565.64239999999995</v>
      </c>
    </row>
    <row r="11" spans="1:3" x14ac:dyDescent="0.35">
      <c r="A11" s="12">
        <v>8</v>
      </c>
      <c r="B11" s="12">
        <v>463.85899999999998</v>
      </c>
      <c r="C11" s="12">
        <v>586.09050000000002</v>
      </c>
    </row>
    <row r="12" spans="1:3" x14ac:dyDescent="0.35">
      <c r="A12" s="5">
        <v>9</v>
      </c>
      <c r="B12" s="5">
        <v>453.40100000000001</v>
      </c>
      <c r="C12" s="5">
        <v>597.45690000000002</v>
      </c>
    </row>
    <row r="13" spans="1:3" x14ac:dyDescent="0.35">
      <c r="A13" s="12">
        <v>10</v>
      </c>
      <c r="B13" s="12">
        <v>555.22130000000004</v>
      </c>
      <c r="C13" s="12">
        <v>598.43500000000006</v>
      </c>
    </row>
    <row r="14" spans="1:3" x14ac:dyDescent="0.35">
      <c r="A14" s="5">
        <v>11</v>
      </c>
      <c r="B14" s="5">
        <v>551.94960000000003</v>
      </c>
      <c r="C14" s="5">
        <v>592.74289999999996</v>
      </c>
    </row>
    <row r="15" spans="1:3" x14ac:dyDescent="0.35">
      <c r="A15" s="12">
        <v>12</v>
      </c>
      <c r="B15" s="12">
        <v>553.93650000000002</v>
      </c>
      <c r="C15" s="12">
        <v>497.28289999999998</v>
      </c>
    </row>
    <row r="16" spans="1:3" x14ac:dyDescent="0.35">
      <c r="A16" s="5">
        <v>13</v>
      </c>
      <c r="B16" s="5">
        <v>545.68809999999996</v>
      </c>
      <c r="C16" s="5">
        <v>502.35759999999999</v>
      </c>
    </row>
    <row r="17" spans="1:3" x14ac:dyDescent="0.35">
      <c r="A17" s="12">
        <v>14</v>
      </c>
      <c r="B17" s="12">
        <v>559.62130000000002</v>
      </c>
      <c r="C17" s="12">
        <v>599.6875</v>
      </c>
    </row>
    <row r="18" spans="1:3" x14ac:dyDescent="0.35">
      <c r="A18" s="5">
        <v>15</v>
      </c>
      <c r="B18" s="5">
        <v>456.20760000000001</v>
      </c>
      <c r="C18" s="5">
        <v>636.48860000000002</v>
      </c>
    </row>
    <row r="19" spans="1:3" x14ac:dyDescent="0.35">
      <c r="A19" s="12">
        <v>16</v>
      </c>
      <c r="B19" s="12">
        <v>464.64600000000002</v>
      </c>
      <c r="C19" s="12">
        <v>617.72800000000007</v>
      </c>
    </row>
    <row r="20" spans="1:3" x14ac:dyDescent="0.35">
      <c r="A20" s="5">
        <v>17</v>
      </c>
      <c r="B20" s="5">
        <v>563.87400000000002</v>
      </c>
      <c r="C20" s="5">
        <v>631.40219999999999</v>
      </c>
    </row>
    <row r="21" spans="1:3" x14ac:dyDescent="0.35">
      <c r="A21" s="12">
        <v>18</v>
      </c>
      <c r="B21" s="12">
        <v>546.76220000000001</v>
      </c>
      <c r="C21" s="12">
        <v>632.36149999999998</v>
      </c>
    </row>
    <row r="22" spans="1:3" x14ac:dyDescent="0.35">
      <c r="A22" s="5">
        <v>19</v>
      </c>
      <c r="B22" s="5">
        <v>544.72749999999996</v>
      </c>
      <c r="C22" s="5">
        <v>524.0258</v>
      </c>
    </row>
    <row r="23" spans="1:3" x14ac:dyDescent="0.35">
      <c r="A23" s="12">
        <v>20</v>
      </c>
      <c r="B23" s="12">
        <v>555.17280000000005</v>
      </c>
      <c r="C23" s="12">
        <v>520.97580000000005</v>
      </c>
    </row>
    <row r="24" spans="1:3" x14ac:dyDescent="0.35">
      <c r="A24" s="5">
        <v>21</v>
      </c>
      <c r="B24" s="5">
        <v>555.51290000000006</v>
      </c>
      <c r="C24" s="5">
        <v>621.6232</v>
      </c>
    </row>
    <row r="25" spans="1:3" x14ac:dyDescent="0.35">
      <c r="A25" s="12">
        <v>22</v>
      </c>
      <c r="B25" s="12">
        <v>456.7817</v>
      </c>
      <c r="C25" s="12">
        <v>619.85619999999994</v>
      </c>
    </row>
    <row r="26" spans="1:3" x14ac:dyDescent="0.35">
      <c r="A26" s="5">
        <v>23</v>
      </c>
      <c r="B26" s="5">
        <v>452.0933</v>
      </c>
      <c r="C26" s="5">
        <v>628.68520000000001</v>
      </c>
    </row>
    <row r="27" spans="1:3" x14ac:dyDescent="0.35">
      <c r="A27" s="12">
        <v>24</v>
      </c>
      <c r="B27" s="12">
        <v>555.11469999999997</v>
      </c>
      <c r="C27" s="12">
        <v>627.81989999999996</v>
      </c>
    </row>
    <row r="28" spans="1:3" x14ac:dyDescent="0.35">
      <c r="A28" s="5">
        <v>25</v>
      </c>
      <c r="B28" s="5">
        <v>558.48099999999999</v>
      </c>
      <c r="C28" s="5">
        <v>640.27930000000003</v>
      </c>
    </row>
    <row r="29" spans="1:3" x14ac:dyDescent="0.35">
      <c r="A29" s="12">
        <v>26</v>
      </c>
      <c r="B29" s="12">
        <v>553.61919999999998</v>
      </c>
      <c r="C29" s="12">
        <v>522.6558</v>
      </c>
    </row>
    <row r="30" spans="1:3" x14ac:dyDescent="0.35">
      <c r="A30" s="5">
        <v>27</v>
      </c>
      <c r="B30" s="5">
        <v>551.22130000000004</v>
      </c>
      <c r="C30" s="5">
        <v>525.76089999999999</v>
      </c>
    </row>
    <row r="31" spans="1:3" x14ac:dyDescent="0.35">
      <c r="A31" s="12">
        <v>28</v>
      </c>
      <c r="B31" s="12">
        <v>545.29280000000006</v>
      </c>
      <c r="C31" s="12">
        <v>637.30960000000005</v>
      </c>
    </row>
    <row r="32" spans="1:3" x14ac:dyDescent="0.35">
      <c r="A32" s="5">
        <v>29</v>
      </c>
      <c r="B32" s="5">
        <v>460.24250000000001</v>
      </c>
      <c r="C32" s="5">
        <v>622.77660000000003</v>
      </c>
    </row>
    <row r="33" spans="1:3" x14ac:dyDescent="0.35">
      <c r="A33" s="12">
        <v>30</v>
      </c>
      <c r="B33" s="12">
        <v>462.1037</v>
      </c>
      <c r="C33" s="12">
        <v>634.77980000000002</v>
      </c>
    </row>
    <row r="34" spans="1:3" x14ac:dyDescent="0.35">
      <c r="A34" s="5">
        <v>31</v>
      </c>
      <c r="B34" s="5">
        <v>544.94809999999995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333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334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335</v>
      </c>
      <c r="D3" s="3" t="s">
        <v>336</v>
      </c>
      <c r="E3" s="3" t="s">
        <v>26</v>
      </c>
      <c r="F3" s="3" t="s">
        <v>337</v>
      </c>
      <c r="G3" s="3" t="s">
        <v>338</v>
      </c>
      <c r="H3" s="3" t="s">
        <v>339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8573.2159000000011</v>
      </c>
      <c r="D4" s="5">
        <v>1569.0330959999999</v>
      </c>
      <c r="E4" s="10">
        <f>C4+D4</f>
        <v>10142.248996</v>
      </c>
      <c r="F4" s="5">
        <v>9664.9979999999996</v>
      </c>
      <c r="G4" s="9">
        <f t="shared" ref="G4:G9" si="0">(E4/31)/(F4/30)-1</f>
        <v>1.5528370885166121E-2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340</v>
      </c>
      <c r="C9" s="8">
        <f>SUM(C4:C8)</f>
        <v>15625.708200000001</v>
      </c>
      <c r="D9" s="8">
        <f>SUM(D4:D8)</f>
        <v>2849.8227079999997</v>
      </c>
      <c r="E9" s="8">
        <f>SUM(E4:E8)</f>
        <v>18475.530907999997</v>
      </c>
      <c r="F9" s="8">
        <f>SUM(F4:F8)</f>
        <v>17350.942500000001</v>
      </c>
      <c r="G9" s="11">
        <f t="shared" si="0"/>
        <v>3.0465407858967675E-2</v>
      </c>
      <c r="H9" s="8">
        <f>SUM(H4:H8)</f>
        <v>0</v>
      </c>
      <c r="I9" s="2" t="s">
        <v>341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342</v>
      </c>
      <c r="B1" s="17"/>
      <c r="C1" s="17"/>
    </row>
    <row r="2" spans="1:3" ht="52" customHeight="1" x14ac:dyDescent="0.35">
      <c r="A2" s="18" t="s">
        <v>343</v>
      </c>
      <c r="B2" s="18"/>
      <c r="C2" s="18"/>
    </row>
    <row r="3" spans="1:3" ht="48" customHeight="1" x14ac:dyDescent="0.35">
      <c r="A3" s="3" t="s">
        <v>344</v>
      </c>
      <c r="B3" s="3" t="s">
        <v>2</v>
      </c>
      <c r="C3" s="3" t="s">
        <v>345</v>
      </c>
    </row>
    <row r="4" spans="1:3" x14ac:dyDescent="0.35">
      <c r="A4" s="4" t="s">
        <v>346</v>
      </c>
      <c r="B4" s="4" t="s">
        <v>142</v>
      </c>
      <c r="C4" s="5">
        <v>5371.8339999999998</v>
      </c>
    </row>
    <row r="5" spans="1:3" x14ac:dyDescent="0.35">
      <c r="A5" s="2" t="s">
        <v>346</v>
      </c>
      <c r="B5" s="2" t="s">
        <v>145</v>
      </c>
      <c r="C5" s="12">
        <v>2822.6995999999999</v>
      </c>
    </row>
    <row r="6" spans="1:3" x14ac:dyDescent="0.35">
      <c r="A6" s="4" t="s">
        <v>346</v>
      </c>
      <c r="B6" s="4" t="s">
        <v>146</v>
      </c>
      <c r="C6" s="5">
        <v>2613.0239999999999</v>
      </c>
    </row>
    <row r="7" spans="1:3" ht="25" x14ac:dyDescent="0.35">
      <c r="A7" s="2" t="s">
        <v>346</v>
      </c>
      <c r="B7" s="2" t="s">
        <v>140</v>
      </c>
      <c r="C7" s="12">
        <v>1817.7</v>
      </c>
    </row>
    <row r="8" spans="1:3" x14ac:dyDescent="0.35">
      <c r="A8" s="4" t="s">
        <v>346</v>
      </c>
      <c r="B8" s="4" t="s">
        <v>144</v>
      </c>
      <c r="C8" s="5">
        <v>1539</v>
      </c>
    </row>
    <row r="9" spans="1:3" x14ac:dyDescent="0.35">
      <c r="A9" s="2" t="s">
        <v>346</v>
      </c>
      <c r="B9" s="2" t="s">
        <v>141</v>
      </c>
      <c r="C9" s="12">
        <v>1187.5338999999999</v>
      </c>
    </row>
    <row r="10" spans="1:3" x14ac:dyDescent="0.35">
      <c r="A10" s="4" t="s">
        <v>346</v>
      </c>
      <c r="B10" s="4" t="s">
        <v>143</v>
      </c>
      <c r="C10" s="5">
        <v>799.15100000000007</v>
      </c>
    </row>
    <row r="11" spans="1:3" x14ac:dyDescent="0.35">
      <c r="A11" s="2" t="s">
        <v>346</v>
      </c>
      <c r="B11" s="2" t="s">
        <v>147</v>
      </c>
      <c r="C11" s="12">
        <v>396</v>
      </c>
    </row>
    <row r="12" spans="1:3" x14ac:dyDescent="0.35">
      <c r="A12" s="4" t="s">
        <v>346</v>
      </c>
      <c r="B12" s="4" t="s">
        <v>148</v>
      </c>
      <c r="C12" s="5">
        <v>354</v>
      </c>
    </row>
    <row r="13" spans="1:3" x14ac:dyDescent="0.35">
      <c r="A13" s="2" t="s">
        <v>346</v>
      </c>
      <c r="B13" s="2" t="s">
        <v>149</v>
      </c>
      <c r="C13" s="12">
        <v>351</v>
      </c>
    </row>
    <row r="14" spans="1:3" x14ac:dyDescent="0.35">
      <c r="A14" s="4" t="s">
        <v>346</v>
      </c>
      <c r="B14" s="4" t="s">
        <v>176</v>
      </c>
      <c r="C14" s="5">
        <v>72</v>
      </c>
    </row>
    <row r="15" spans="1:3" x14ac:dyDescent="0.35">
      <c r="A15" s="2" t="s">
        <v>346</v>
      </c>
      <c r="B15" s="2" t="s">
        <v>177</v>
      </c>
      <c r="C15" s="12">
        <v>27</v>
      </c>
    </row>
    <row r="16" spans="1:3" x14ac:dyDescent="0.35">
      <c r="A16" s="4" t="s">
        <v>347</v>
      </c>
      <c r="B16" s="4" t="s">
        <v>348</v>
      </c>
      <c r="C16" s="5">
        <v>17350.942500000001</v>
      </c>
    </row>
    <row r="17" spans="1:3" x14ac:dyDescent="0.35">
      <c r="A17" s="2" t="s">
        <v>349</v>
      </c>
      <c r="B17" s="2" t="s">
        <v>350</v>
      </c>
      <c r="C17" s="12">
        <v>2357.2800000000002</v>
      </c>
    </row>
    <row r="18" spans="1:3" x14ac:dyDescent="0.35">
      <c r="A18" s="4" t="s">
        <v>349</v>
      </c>
      <c r="B18" s="4" t="s">
        <v>351</v>
      </c>
      <c r="C18" s="5">
        <v>214.28</v>
      </c>
    </row>
  </sheetData>
  <autoFilter ref="A3:C18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352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353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344</v>
      </c>
      <c r="B3" s="3" t="s">
        <v>354</v>
      </c>
      <c r="C3" s="3" t="s">
        <v>355</v>
      </c>
      <c r="D3" s="3" t="s">
        <v>356</v>
      </c>
      <c r="E3" s="3" t="s">
        <v>357</v>
      </c>
      <c r="F3" s="3" t="s">
        <v>358</v>
      </c>
      <c r="G3" s="3" t="s">
        <v>359</v>
      </c>
      <c r="H3" s="3" t="s">
        <v>360</v>
      </c>
      <c r="I3" s="3" t="s">
        <v>361</v>
      </c>
    </row>
    <row r="4" spans="1:9" x14ac:dyDescent="0.35">
      <c r="A4" s="4" t="s">
        <v>362</v>
      </c>
      <c r="B4" s="4" t="s">
        <v>363</v>
      </c>
      <c r="C4" s="4" t="s">
        <v>364</v>
      </c>
      <c r="D4" s="4" t="s">
        <v>365</v>
      </c>
      <c r="E4" s="4" t="s">
        <v>366</v>
      </c>
      <c r="F4" s="5">
        <v>99</v>
      </c>
      <c r="G4" s="5">
        <v>98.5</v>
      </c>
      <c r="H4" s="4" t="s">
        <v>367</v>
      </c>
      <c r="I4" s="4" t="s">
        <v>368</v>
      </c>
    </row>
    <row r="5" spans="1:9" x14ac:dyDescent="0.35">
      <c r="A5" s="2" t="s">
        <v>362</v>
      </c>
      <c r="B5" s="2" t="s">
        <v>369</v>
      </c>
      <c r="C5" s="2" t="s">
        <v>370</v>
      </c>
      <c r="D5" s="2" t="s">
        <v>371</v>
      </c>
      <c r="E5" s="2" t="s">
        <v>366</v>
      </c>
      <c r="F5" s="12">
        <v>0</v>
      </c>
      <c r="G5" s="12">
        <v>0</v>
      </c>
      <c r="H5" s="2" t="s">
        <v>372</v>
      </c>
      <c r="I5" s="2" t="s">
        <v>373</v>
      </c>
    </row>
    <row r="6" spans="1:9" ht="25" x14ac:dyDescent="0.35">
      <c r="A6" s="4" t="s">
        <v>374</v>
      </c>
      <c r="B6" s="4" t="s">
        <v>375</v>
      </c>
      <c r="C6" s="4" t="s">
        <v>376</v>
      </c>
      <c r="D6" s="4" t="s">
        <v>371</v>
      </c>
      <c r="E6" s="4" t="s">
        <v>366</v>
      </c>
      <c r="F6" s="5">
        <v>99.6</v>
      </c>
      <c r="G6" s="5">
        <v>99.2</v>
      </c>
      <c r="H6" s="4" t="s">
        <v>377</v>
      </c>
      <c r="I6" s="4" t="s">
        <v>378</v>
      </c>
    </row>
  </sheetData>
  <autoFilter ref="A3:I6" xr:uid="{00000000-0009-0000-0000-00000E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379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52" customHeight="1" x14ac:dyDescent="0.35">
      <c r="A2" s="18" t="s">
        <v>380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48" customHeight="1" x14ac:dyDescent="0.35">
      <c r="A3" s="3" t="s">
        <v>381</v>
      </c>
      <c r="B3" s="3" t="s">
        <v>154</v>
      </c>
      <c r="C3" s="3" t="s">
        <v>382</v>
      </c>
      <c r="D3" s="3" t="s">
        <v>383</v>
      </c>
      <c r="E3" s="3" t="s">
        <v>150</v>
      </c>
      <c r="F3" s="3" t="s">
        <v>357</v>
      </c>
      <c r="G3" s="3" t="s">
        <v>384</v>
      </c>
      <c r="H3" s="3" t="s">
        <v>385</v>
      </c>
      <c r="I3" s="3" t="s">
        <v>386</v>
      </c>
      <c r="J3" s="3" t="s">
        <v>387</v>
      </c>
    </row>
    <row r="4" spans="1:10" x14ac:dyDescent="0.35">
      <c r="A4" s="4" t="s">
        <v>362</v>
      </c>
      <c r="B4" s="4" t="s">
        <v>164</v>
      </c>
      <c r="C4" s="4" t="s">
        <v>388</v>
      </c>
      <c r="D4" s="4" t="s">
        <v>364</v>
      </c>
      <c r="E4" s="4" t="s">
        <v>389</v>
      </c>
      <c r="F4" s="4" t="s">
        <v>366</v>
      </c>
      <c r="G4" s="5">
        <v>2</v>
      </c>
      <c r="H4" s="5">
        <v>357.12</v>
      </c>
      <c r="I4" s="5">
        <v>228.5</v>
      </c>
      <c r="J4" s="5">
        <v>128.62</v>
      </c>
    </row>
    <row r="5" spans="1:10" x14ac:dyDescent="0.35">
      <c r="A5" s="2" t="s">
        <v>362</v>
      </c>
      <c r="B5" s="2" t="s">
        <v>164</v>
      </c>
      <c r="C5" s="2" t="s">
        <v>388</v>
      </c>
      <c r="D5" s="2" t="s">
        <v>364</v>
      </c>
      <c r="E5" s="2" t="s">
        <v>389</v>
      </c>
      <c r="F5" s="2" t="s">
        <v>390</v>
      </c>
      <c r="G5" s="12">
        <v>2</v>
      </c>
      <c r="H5" s="12">
        <v>357.12</v>
      </c>
      <c r="I5" s="12">
        <v>146.4</v>
      </c>
      <c r="J5" s="12">
        <v>210.72</v>
      </c>
    </row>
    <row r="6" spans="1:10" x14ac:dyDescent="0.35">
      <c r="A6" s="4" t="s">
        <v>374</v>
      </c>
      <c r="B6" s="4" t="s">
        <v>159</v>
      </c>
      <c r="C6" s="4" t="s">
        <v>391</v>
      </c>
      <c r="D6" s="4" t="s">
        <v>392</v>
      </c>
      <c r="E6" s="4"/>
      <c r="F6" s="4" t="s">
        <v>366</v>
      </c>
      <c r="G6" s="5">
        <v>0.95</v>
      </c>
      <c r="H6" s="5">
        <v>1062</v>
      </c>
      <c r="I6" s="5">
        <v>873.4</v>
      </c>
      <c r="J6" s="5">
        <v>188.6</v>
      </c>
    </row>
  </sheetData>
  <autoFilter ref="A3:J6" xr:uid="{00000000-0009-0000-0000-00000F000000}"/>
  <mergeCells count="2">
    <mergeCell ref="A1:J1"/>
    <mergeCell ref="A2:J2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393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394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344</v>
      </c>
      <c r="B3" s="3" t="s">
        <v>356</v>
      </c>
      <c r="C3" s="3" t="s">
        <v>395</v>
      </c>
      <c r="D3" s="3" t="s">
        <v>396</v>
      </c>
      <c r="E3" s="3" t="s">
        <v>397</v>
      </c>
      <c r="F3" s="3" t="s">
        <v>398</v>
      </c>
      <c r="G3" s="3" t="s">
        <v>399</v>
      </c>
      <c r="H3" s="3" t="s">
        <v>400</v>
      </c>
      <c r="I3" s="3" t="s">
        <v>401</v>
      </c>
      <c r="J3" s="3" t="s">
        <v>402</v>
      </c>
      <c r="K3" s="3" t="s">
        <v>403</v>
      </c>
      <c r="L3" s="3" t="s">
        <v>404</v>
      </c>
    </row>
    <row r="4" spans="1:12" ht="85" customHeight="1" x14ac:dyDescent="0.35">
      <c r="A4" s="4" t="s">
        <v>405</v>
      </c>
      <c r="B4" s="4" t="s">
        <v>406</v>
      </c>
      <c r="C4" s="4" t="s">
        <v>407</v>
      </c>
      <c r="D4" s="4" t="s">
        <v>408</v>
      </c>
      <c r="E4" s="4"/>
      <c r="F4" s="4" t="s">
        <v>409</v>
      </c>
      <c r="G4" s="4" t="s">
        <v>410</v>
      </c>
      <c r="H4" s="4" t="s">
        <v>411</v>
      </c>
      <c r="I4" s="4"/>
      <c r="J4" s="4"/>
      <c r="K4" s="4"/>
      <c r="L4" s="4"/>
    </row>
    <row r="5" spans="1:12" ht="85" customHeight="1" x14ac:dyDescent="0.35">
      <c r="A5" s="2" t="s">
        <v>405</v>
      </c>
      <c r="B5" s="2" t="s">
        <v>412</v>
      </c>
      <c r="C5" s="2" t="s">
        <v>413</v>
      </c>
      <c r="D5" s="2" t="s">
        <v>414</v>
      </c>
      <c r="E5" s="2"/>
      <c r="F5" s="2" t="s">
        <v>409</v>
      </c>
      <c r="G5" s="2" t="s">
        <v>410</v>
      </c>
      <c r="H5" s="2" t="s">
        <v>411</v>
      </c>
      <c r="I5" s="2"/>
      <c r="J5" s="2"/>
      <c r="K5" s="2"/>
      <c r="L5" s="2"/>
    </row>
    <row r="6" spans="1:12" ht="85" customHeight="1" x14ac:dyDescent="0.35">
      <c r="A6" s="4" t="s">
        <v>405</v>
      </c>
      <c r="B6" s="4" t="s">
        <v>415</v>
      </c>
      <c r="C6" s="4" t="s">
        <v>416</v>
      </c>
      <c r="D6" s="4" t="s">
        <v>417</v>
      </c>
      <c r="E6" s="4"/>
      <c r="F6" s="4" t="s">
        <v>409</v>
      </c>
      <c r="G6" s="4" t="s">
        <v>410</v>
      </c>
      <c r="H6" s="4" t="s">
        <v>411</v>
      </c>
      <c r="I6" s="4"/>
      <c r="J6" s="4"/>
      <c r="K6" s="4"/>
      <c r="L6" s="4"/>
    </row>
    <row r="7" spans="1:12" ht="85" customHeight="1" x14ac:dyDescent="0.35">
      <c r="A7" s="2" t="s">
        <v>405</v>
      </c>
      <c r="B7" s="2" t="s">
        <v>418</v>
      </c>
      <c r="C7" s="2" t="s">
        <v>419</v>
      </c>
      <c r="D7" s="2" t="s">
        <v>420</v>
      </c>
      <c r="E7" s="2"/>
      <c r="F7" s="2" t="s">
        <v>409</v>
      </c>
      <c r="G7" s="2" t="s">
        <v>410</v>
      </c>
      <c r="H7" s="2" t="s">
        <v>411</v>
      </c>
      <c r="I7" s="2"/>
      <c r="J7" s="2"/>
      <c r="K7" s="2"/>
      <c r="L7" s="2"/>
    </row>
    <row r="8" spans="1:12" ht="85" customHeight="1" x14ac:dyDescent="0.35">
      <c r="A8" s="4" t="s">
        <v>421</v>
      </c>
      <c r="B8" s="4" t="s">
        <v>422</v>
      </c>
      <c r="C8" s="4" t="s">
        <v>423</v>
      </c>
      <c r="D8" s="4" t="s">
        <v>424</v>
      </c>
      <c r="E8" s="5">
        <v>760.51400000000001</v>
      </c>
      <c r="F8" s="4" t="s">
        <v>425</v>
      </c>
      <c r="G8" s="4" t="s">
        <v>426</v>
      </c>
      <c r="H8" s="4" t="s">
        <v>427</v>
      </c>
      <c r="I8" s="4"/>
      <c r="J8" s="4"/>
      <c r="K8" s="4"/>
      <c r="L8" s="4"/>
    </row>
    <row r="9" spans="1:12" ht="85" customHeight="1" x14ac:dyDescent="0.35">
      <c r="A9" s="2" t="s">
        <v>428</v>
      </c>
      <c r="B9" s="2" t="s">
        <v>429</v>
      </c>
      <c r="C9" s="2" t="s">
        <v>430</v>
      </c>
      <c r="D9" s="2" t="s">
        <v>431</v>
      </c>
      <c r="E9" s="2"/>
      <c r="F9" s="2" t="s">
        <v>432</v>
      </c>
      <c r="G9" s="2" t="s">
        <v>433</v>
      </c>
      <c r="H9" s="2" t="s">
        <v>434</v>
      </c>
      <c r="I9" s="2"/>
      <c r="J9" s="2"/>
      <c r="K9" s="2"/>
      <c r="L9" s="2"/>
    </row>
    <row r="10" spans="1:12" ht="85" customHeight="1" x14ac:dyDescent="0.35">
      <c r="A10" s="4" t="s">
        <v>435</v>
      </c>
      <c r="B10" s="4" t="s">
        <v>436</v>
      </c>
      <c r="C10" s="4" t="s">
        <v>437</v>
      </c>
      <c r="D10" s="4" t="s">
        <v>438</v>
      </c>
      <c r="E10" s="4"/>
      <c r="F10" s="4" t="s">
        <v>439</v>
      </c>
      <c r="G10" s="4" t="s">
        <v>440</v>
      </c>
      <c r="H10" s="4" t="s">
        <v>441</v>
      </c>
      <c r="I10" s="4"/>
      <c r="J10" s="4"/>
      <c r="K10" s="4"/>
      <c r="L10" s="4"/>
    </row>
    <row r="11" spans="1:12" ht="85" customHeight="1" x14ac:dyDescent="0.35">
      <c r="A11" s="2" t="s">
        <v>442</v>
      </c>
      <c r="B11" s="2" t="s">
        <v>443</v>
      </c>
      <c r="C11" s="2" t="s">
        <v>444</v>
      </c>
      <c r="D11" s="2" t="s">
        <v>445</v>
      </c>
      <c r="E11" s="2"/>
      <c r="F11" s="2" t="s">
        <v>446</v>
      </c>
      <c r="G11" s="2" t="s">
        <v>410</v>
      </c>
      <c r="H11" s="2" t="s">
        <v>447</v>
      </c>
      <c r="I11" s="2"/>
      <c r="J11" s="2"/>
      <c r="K11" s="2"/>
      <c r="L11" s="2"/>
    </row>
    <row r="12" spans="1:12" ht="85" customHeight="1" x14ac:dyDescent="0.35">
      <c r="A12" s="4" t="s">
        <v>448</v>
      </c>
      <c r="B12" s="4" t="s">
        <v>449</v>
      </c>
      <c r="C12" s="4" t="s">
        <v>450</v>
      </c>
      <c r="D12" s="4" t="s">
        <v>451</v>
      </c>
      <c r="E12" s="4"/>
      <c r="F12" s="4" t="s">
        <v>452</v>
      </c>
      <c r="G12" s="4" t="s">
        <v>453</v>
      </c>
      <c r="H12" s="4" t="s">
        <v>454</v>
      </c>
      <c r="I12" s="4"/>
      <c r="J12" s="4"/>
      <c r="K12" s="4"/>
      <c r="L12" s="4"/>
    </row>
  </sheetData>
  <autoFilter ref="A3:L12" xr:uid="{00000000-0009-0000-0000-000010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456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354</v>
      </c>
      <c r="D3" s="3" t="s">
        <v>381</v>
      </c>
      <c r="E3" s="3" t="s">
        <v>383</v>
      </c>
      <c r="F3" s="3" t="s">
        <v>150</v>
      </c>
      <c r="G3" s="3" t="s">
        <v>457</v>
      </c>
      <c r="H3" s="3" t="s">
        <v>458</v>
      </c>
      <c r="I3" s="3" t="s">
        <v>459</v>
      </c>
      <c r="J3" s="3" t="s">
        <v>460</v>
      </c>
      <c r="K3" s="3" t="s">
        <v>461</v>
      </c>
      <c r="L3" s="3" t="s">
        <v>462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260</v>
      </c>
      <c r="D4" s="4" t="s">
        <v>463</v>
      </c>
      <c r="E4" s="4" t="s">
        <v>464</v>
      </c>
      <c r="F4" s="4" t="s">
        <v>465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266</v>
      </c>
      <c r="D5" s="2" t="s">
        <v>466</v>
      </c>
      <c r="E5" s="2" t="s">
        <v>467</v>
      </c>
      <c r="F5" s="2" t="s">
        <v>389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468</v>
      </c>
    </row>
    <row r="6" spans="1:13" x14ac:dyDescent="0.35">
      <c r="A6" s="4" t="s">
        <v>159</v>
      </c>
      <c r="B6" s="4" t="s">
        <v>247</v>
      </c>
      <c r="C6" s="4" t="s">
        <v>264</v>
      </c>
      <c r="D6" s="4" t="s">
        <v>466</v>
      </c>
      <c r="E6" s="4" t="s">
        <v>467</v>
      </c>
      <c r="F6" s="4" t="s">
        <v>389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268</v>
      </c>
      <c r="D7" s="2" t="s">
        <v>463</v>
      </c>
      <c r="E7" s="2" t="s">
        <v>469</v>
      </c>
      <c r="F7" s="2" t="s">
        <v>389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470</v>
      </c>
    </row>
    <row r="8" spans="1:13" ht="25" x14ac:dyDescent="0.35">
      <c r="A8" s="4" t="s">
        <v>159</v>
      </c>
      <c r="B8" s="4" t="s">
        <v>247</v>
      </c>
      <c r="C8" s="4" t="s">
        <v>274</v>
      </c>
      <c r="D8" s="4" t="s">
        <v>471</v>
      </c>
      <c r="E8" s="4" t="s">
        <v>472</v>
      </c>
      <c r="F8" s="4" t="s">
        <v>389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473</v>
      </c>
    </row>
    <row r="9" spans="1:13" x14ac:dyDescent="0.35">
      <c r="A9" s="2" t="s">
        <v>168</v>
      </c>
      <c r="B9" s="2" t="s">
        <v>248</v>
      </c>
      <c r="C9" s="2" t="s">
        <v>298</v>
      </c>
      <c r="D9" s="2" t="s">
        <v>466</v>
      </c>
      <c r="E9" s="2" t="s">
        <v>474</v>
      </c>
      <c r="F9" s="2" t="s">
        <v>389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468</v>
      </c>
    </row>
  </sheetData>
  <autoFilter ref="A3:M9" xr:uid="{00000000-0009-0000-0000-000011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476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477</v>
      </c>
      <c r="D3" s="3" t="s">
        <v>478</v>
      </c>
      <c r="E3" s="3" t="s">
        <v>479</v>
      </c>
      <c r="F3" s="3" t="s">
        <v>480</v>
      </c>
      <c r="G3" s="3" t="s">
        <v>481</v>
      </c>
      <c r="H3" s="3" t="s">
        <v>482</v>
      </c>
      <c r="I3" s="3" t="s">
        <v>483</v>
      </c>
      <c r="J3" s="3" t="s">
        <v>484</v>
      </c>
      <c r="K3" s="3" t="s">
        <v>485</v>
      </c>
      <c r="L3" s="3" t="s">
        <v>486</v>
      </c>
      <c r="M3" s="3" t="s">
        <v>457</v>
      </c>
    </row>
    <row r="4" spans="1:13" x14ac:dyDescent="0.35">
      <c r="A4" s="4" t="s">
        <v>162</v>
      </c>
      <c r="B4" s="4" t="s">
        <v>245</v>
      </c>
      <c r="C4" s="4" t="s">
        <v>270</v>
      </c>
      <c r="D4" s="4" t="s">
        <v>487</v>
      </c>
      <c r="E4" s="4" t="s">
        <v>488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489</v>
      </c>
      <c r="K4" s="5">
        <v>310</v>
      </c>
      <c r="L4" s="4" t="s">
        <v>490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300</v>
      </c>
      <c r="D5" s="2" t="s">
        <v>487</v>
      </c>
      <c r="E5" s="2" t="s">
        <v>488</v>
      </c>
      <c r="F5" s="12">
        <v>4750</v>
      </c>
      <c r="G5" s="12">
        <v>5270</v>
      </c>
      <c r="H5" s="12">
        <v>520</v>
      </c>
      <c r="I5" s="12">
        <v>10.95</v>
      </c>
      <c r="J5" s="2" t="s">
        <v>491</v>
      </c>
      <c r="K5" s="12">
        <v>2400</v>
      </c>
      <c r="L5" s="2" t="s">
        <v>492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326</v>
      </c>
      <c r="D6" s="4" t="s">
        <v>487</v>
      </c>
      <c r="E6" s="4" t="s">
        <v>488</v>
      </c>
      <c r="F6" s="5">
        <v>662</v>
      </c>
      <c r="G6" s="5">
        <v>720</v>
      </c>
      <c r="H6" s="5">
        <v>58</v>
      </c>
      <c r="I6" s="5">
        <v>8.76</v>
      </c>
      <c r="J6" s="4" t="s">
        <v>493</v>
      </c>
      <c r="K6" s="5">
        <v>12</v>
      </c>
      <c r="L6" s="4" t="s">
        <v>490</v>
      </c>
      <c r="M6" s="5">
        <v>13.54</v>
      </c>
    </row>
  </sheetData>
  <autoFilter ref="A3:M6" xr:uid="{00000000-0009-0000-0000-00001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494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495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496</v>
      </c>
      <c r="C3" s="3" t="s">
        <v>457</v>
      </c>
      <c r="D3" s="3" t="s">
        <v>497</v>
      </c>
      <c r="E3" s="3" t="s">
        <v>498</v>
      </c>
      <c r="F3" s="3" t="s">
        <v>499</v>
      </c>
      <c r="G3" s="3" t="s">
        <v>500</v>
      </c>
      <c r="H3" s="3" t="s">
        <v>501</v>
      </c>
    </row>
    <row r="4" spans="1:8" ht="25" x14ac:dyDescent="0.35">
      <c r="A4" s="4" t="s">
        <v>159</v>
      </c>
      <c r="B4" s="4" t="s">
        <v>254</v>
      </c>
      <c r="C4" s="5">
        <v>3556.31</v>
      </c>
      <c r="D4" s="5">
        <v>1290</v>
      </c>
      <c r="E4" s="4" t="s">
        <v>502</v>
      </c>
      <c r="F4" s="5">
        <v>30</v>
      </c>
      <c r="G4" s="4" t="s">
        <v>503</v>
      </c>
      <c r="H4" s="4" t="s">
        <v>504</v>
      </c>
    </row>
    <row r="5" spans="1:8" ht="25" x14ac:dyDescent="0.35">
      <c r="A5" s="2" t="s">
        <v>162</v>
      </c>
      <c r="B5" s="2" t="s">
        <v>258</v>
      </c>
      <c r="C5" s="12">
        <v>1815.53</v>
      </c>
      <c r="D5" s="12">
        <v>560</v>
      </c>
      <c r="E5" s="2" t="s">
        <v>505</v>
      </c>
      <c r="F5" s="12">
        <v>30</v>
      </c>
      <c r="G5" s="2" t="s">
        <v>503</v>
      </c>
      <c r="H5" s="2" t="s">
        <v>506</v>
      </c>
    </row>
  </sheetData>
  <autoFilter ref="A3:H5" xr:uid="{00000000-0009-0000-0000-00001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507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508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509</v>
      </c>
      <c r="C3" s="3" t="s">
        <v>510</v>
      </c>
      <c r="D3" s="3" t="s">
        <v>511</v>
      </c>
      <c r="E3" s="3" t="s">
        <v>512</v>
      </c>
      <c r="F3" s="3" t="s">
        <v>513</v>
      </c>
      <c r="G3" s="3" t="s">
        <v>514</v>
      </c>
      <c r="H3" s="3" t="s">
        <v>515</v>
      </c>
      <c r="I3" s="3" t="s">
        <v>4</v>
      </c>
    </row>
    <row r="4" spans="1:9" x14ac:dyDescent="0.35">
      <c r="A4" s="4" t="s">
        <v>159</v>
      </c>
      <c r="B4" s="4" t="s">
        <v>516</v>
      </c>
      <c r="C4" s="5">
        <v>15000</v>
      </c>
      <c r="D4" s="4" t="s">
        <v>517</v>
      </c>
      <c r="E4" s="4" t="s">
        <v>518</v>
      </c>
      <c r="F4" s="4" t="s">
        <v>519</v>
      </c>
      <c r="G4" s="4" t="s">
        <v>520</v>
      </c>
      <c r="H4" s="5">
        <v>11840</v>
      </c>
      <c r="I4" s="4" t="s">
        <v>521</v>
      </c>
    </row>
  </sheetData>
  <autoFilter ref="A3:I4" xr:uid="{00000000-0009-0000-0000-000014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522</v>
      </c>
      <c r="B1" s="17"/>
    </row>
    <row r="2" spans="1:2" ht="52" customHeight="1" x14ac:dyDescent="0.35">
      <c r="A2" s="18" t="s">
        <v>523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524</v>
      </c>
      <c r="B4" s="4" t="s">
        <v>525</v>
      </c>
    </row>
    <row r="5" spans="1:2" x14ac:dyDescent="0.35">
      <c r="A5" s="2" t="s">
        <v>526</v>
      </c>
      <c r="B5" s="2" t="s">
        <v>525</v>
      </c>
    </row>
    <row r="6" spans="1:2" x14ac:dyDescent="0.35">
      <c r="A6" s="4" t="s">
        <v>527</v>
      </c>
      <c r="B6" s="4" t="s">
        <v>525</v>
      </c>
    </row>
    <row r="7" spans="1:2" x14ac:dyDescent="0.35">
      <c r="A7" s="2" t="s">
        <v>250</v>
      </c>
      <c r="B7" s="2" t="s">
        <v>525</v>
      </c>
    </row>
    <row r="8" spans="1:2" x14ac:dyDescent="0.35">
      <c r="A8" s="4" t="s">
        <v>528</v>
      </c>
      <c r="B8" s="4" t="s">
        <v>529</v>
      </c>
    </row>
    <row r="9" spans="1:2" ht="25" x14ac:dyDescent="0.35">
      <c r="A9" s="2" t="s">
        <v>530</v>
      </c>
      <c r="B9" s="2" t="s">
        <v>531</v>
      </c>
    </row>
    <row r="10" spans="1:2" x14ac:dyDescent="0.35">
      <c r="A10" s="4" t="s">
        <v>532</v>
      </c>
      <c r="B10" s="4" t="s">
        <v>533</v>
      </c>
    </row>
    <row r="11" spans="1:2" x14ac:dyDescent="0.35">
      <c r="A11" s="2" t="s">
        <v>534</v>
      </c>
      <c r="B11" s="2" t="s">
        <v>535</v>
      </c>
    </row>
    <row r="12" spans="1:2" x14ac:dyDescent="0.35">
      <c r="A12" s="4" t="s">
        <v>536</v>
      </c>
      <c r="B12" s="4" t="s">
        <v>537</v>
      </c>
    </row>
    <row r="13" spans="1:2" x14ac:dyDescent="0.35">
      <c r="A13" s="2" t="s">
        <v>538</v>
      </c>
      <c r="B13" s="2" t="s">
        <v>539</v>
      </c>
    </row>
    <row r="14" spans="1:2" x14ac:dyDescent="0.35">
      <c r="A14" s="4" t="s">
        <v>540</v>
      </c>
      <c r="B14" s="4" t="s">
        <v>541</v>
      </c>
    </row>
    <row r="15" spans="1:2" x14ac:dyDescent="0.35">
      <c r="A15" s="2" t="s">
        <v>542</v>
      </c>
      <c r="B15" s="2" t="s">
        <v>543</v>
      </c>
    </row>
    <row r="16" spans="1:2" x14ac:dyDescent="0.35">
      <c r="A16" s="4" t="s">
        <v>544</v>
      </c>
      <c r="B16" s="4" t="s">
        <v>545</v>
      </c>
    </row>
    <row r="17" spans="1:2" x14ac:dyDescent="0.35">
      <c r="A17" s="2" t="s">
        <v>546</v>
      </c>
      <c r="B17" s="2" t="s">
        <v>547</v>
      </c>
    </row>
    <row r="18" spans="1:2" ht="25" x14ac:dyDescent="0.35">
      <c r="A18" s="4" t="s">
        <v>548</v>
      </c>
      <c r="B18" s="4" t="s">
        <v>549</v>
      </c>
    </row>
    <row r="19" spans="1:2" x14ac:dyDescent="0.35">
      <c r="A19" s="2" t="s">
        <v>550</v>
      </c>
      <c r="B19" s="2" t="s">
        <v>551</v>
      </c>
    </row>
    <row r="20" spans="1:2" x14ac:dyDescent="0.35">
      <c r="A20" s="4" t="s">
        <v>552</v>
      </c>
      <c r="B20" s="4" t="s">
        <v>553</v>
      </c>
    </row>
    <row r="21" spans="1:2" x14ac:dyDescent="0.35">
      <c r="A21" s="2" t="s">
        <v>554</v>
      </c>
      <c r="B21" s="2" t="s">
        <v>555</v>
      </c>
    </row>
    <row r="22" spans="1:2" x14ac:dyDescent="0.35">
      <c r="A22" s="4" t="s">
        <v>556</v>
      </c>
      <c r="B22" s="4" t="s">
        <v>557</v>
      </c>
    </row>
    <row r="23" spans="1:2" ht="25" x14ac:dyDescent="0.35">
      <c r="A23" s="2" t="s">
        <v>558</v>
      </c>
      <c r="B23" s="2" t="s">
        <v>559</v>
      </c>
    </row>
    <row r="24" spans="1:2" x14ac:dyDescent="0.35">
      <c r="A24" s="4" t="s">
        <v>560</v>
      </c>
      <c r="B24" s="4" t="s">
        <v>561</v>
      </c>
    </row>
    <row r="25" spans="1:2" ht="25" x14ac:dyDescent="0.35">
      <c r="A25" s="2" t="s">
        <v>562</v>
      </c>
      <c r="B25" s="2" t="s">
        <v>563</v>
      </c>
    </row>
    <row r="26" spans="1:2" x14ac:dyDescent="0.35">
      <c r="A26" s="4" t="s">
        <v>477</v>
      </c>
      <c r="B26" s="4" t="s">
        <v>564</v>
      </c>
    </row>
    <row r="27" spans="1:2" ht="25" x14ac:dyDescent="0.35">
      <c r="A27" s="2" t="s">
        <v>565</v>
      </c>
      <c r="B27" s="2" t="s">
        <v>566</v>
      </c>
    </row>
    <row r="28" spans="1:2" x14ac:dyDescent="0.35">
      <c r="A28" s="4" t="s">
        <v>567</v>
      </c>
      <c r="B28" s="4" t="s">
        <v>568</v>
      </c>
    </row>
    <row r="29" spans="1:2" x14ac:dyDescent="0.35">
      <c r="A29" s="2" t="s">
        <v>569</v>
      </c>
      <c r="B29" s="2" t="s">
        <v>570</v>
      </c>
    </row>
  </sheetData>
  <autoFilter ref="A3:B29" xr:uid="{00000000-0009-0000-0000-000015000000}"/>
  <mergeCells count="2">
    <mergeCell ref="A2:B2"/>
    <mergeCell ref="A1:B1"/>
  </mergeCells>
  <hyperlinks>
    <hyperlink ref="B17" r:id="rId1" xr:uid="{00000000-0004-0000-15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RI与SP</vt:lpstr>
      <vt:lpstr>Azure购买建议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Azure购买建议!Print_Titles</vt:lpstr>
      <vt:lpstr>RI与SP!Print_Titles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2026-10-27T06:11:45Z</dcterms:created>
  <dcterms:modified xsi:type="dcterms:W3CDTF">2026-10-27T06:11:54Z</dcterms:modified>
</cp:coreProperties>
</file>