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ez\AppData\Local\Temp\azinspect-sample-09jfy2fk\2026-09\reports\"/>
    </mc:Choice>
  </mc:AlternateContent>
  <xr:revisionPtr revIDLastSave="0" documentId="13_ncr:1_{BE239AAE-17EE-4D32-A72E-393F82945595}" xr6:coauthVersionLast="47" xr6:coauthVersionMax="47" xr10:uidLastSave="{00000000-0000-0000-0000-000000000000}"/>
  <bookViews>
    <workbookView xWindow="2660" yWindow="2660" windowWidth="16920" windowHeight="10450" xr2:uid="{00000000-000D-0000-FFFF-FFFF00000000}"/>
  </bookViews>
  <sheets>
    <sheet name="概览" sheetId="1" r:id="rId1"/>
    <sheet name="问题清单" sheetId="2" r:id="rId2"/>
    <sheet name="检查覆盖" sheetId="3" r:id="rId3"/>
    <sheet name="Landing Zone 对照" sheetId="4" r:id="rId4"/>
    <sheet name="上月问题处理情况" sheetId="5" r:id="rId5"/>
  </sheets>
  <definedNames>
    <definedName name="_xlnm._FilterDatabase" localSheetId="3" hidden="1">'Landing Zone 对照'!$A$3:$I$19</definedName>
    <definedName name="_xlnm._FilterDatabase" localSheetId="4" hidden="1">上月问题处理情况!$A$3:$G$4</definedName>
    <definedName name="_xlnm._FilterDatabase" localSheetId="2" hidden="1">检查覆盖!$A$3:$F$37</definedName>
    <definedName name="_xlnm._FilterDatabase" localSheetId="0" hidden="1">概览!$A$3:$H$37</definedName>
    <definedName name="_xlnm._FilterDatabase" localSheetId="1" hidden="1">问题清单!$A$3:$W$23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1" l="1"/>
  <c r="E37" i="1"/>
  <c r="D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7" i="1" l="1"/>
</calcChain>
</file>

<file path=xl/sharedStrings.xml><?xml version="1.0" encoding="utf-8"?>
<sst xmlns="http://schemas.openxmlformats.org/spreadsheetml/2006/main" count="662" uniqueCount="334">
  <si>
    <t>示例客户 可靠性与安全巡检问题清单（2026年10月26日只读读取）</t>
  </si>
  <si>
    <t>高＝可能直接导致故障、数据丢失或被入侵；中＝单点故障或缺少必要防护；低＝建议改进。环境（生产/测试）按名称或标签推断。高、中、低为问题条数（问题清单行数），涉及资源数按资源去重。</t>
  </si>
  <si>
    <t>支柱</t>
  </si>
  <si>
    <t>检查项</t>
  </si>
  <si>
    <t>编号</t>
  </si>
  <si>
    <t>高</t>
  </si>
  <si>
    <t>中</t>
  </si>
  <si>
    <t>低</t>
  </si>
  <si>
    <t>合计</t>
  </si>
  <si>
    <t>涉及资源数</t>
  </si>
  <si>
    <t>可靠性</t>
  </si>
  <si>
    <t>AKS 网络容量</t>
  </si>
  <si>
    <t>R1</t>
  </si>
  <si>
    <t>—</t>
  </si>
  <si>
    <t>可靠性：各检查项问题数量</t>
  </si>
  <si>
    <t>系统节点池</t>
  </si>
  <si>
    <t>R2</t>
  </si>
  <si>
    <t>可用区</t>
  </si>
  <si>
    <t>R3</t>
  </si>
  <si>
    <t>4 台虚拟机</t>
  </si>
  <si>
    <t>AKS 控制面服务等级</t>
  </si>
  <si>
    <t>R4</t>
  </si>
  <si>
    <t>1 个集群</t>
  </si>
  <si>
    <t>数据库高可用与备份</t>
  </si>
  <si>
    <t>R5</t>
  </si>
  <si>
    <t>2 个 MySQL</t>
  </si>
  <si>
    <t>存储冗余与恢复</t>
  </si>
  <si>
    <t>R6</t>
  </si>
  <si>
    <t>1 个存储账户</t>
  </si>
  <si>
    <t>虚拟机备份</t>
  </si>
  <si>
    <t>R7</t>
  </si>
  <si>
    <t>2 台虚拟机</t>
  </si>
  <si>
    <t>出站连接</t>
  </si>
  <si>
    <t>R8</t>
  </si>
  <si>
    <t>版本与组件退役</t>
  </si>
  <si>
    <t>R9</t>
  </si>
  <si>
    <t>配额</t>
  </si>
  <si>
    <t>R10</t>
  </si>
  <si>
    <t>资源健康</t>
  </si>
  <si>
    <t>R11</t>
  </si>
  <si>
    <t>近期失败操作</t>
  </si>
  <si>
    <t>R12</t>
  </si>
  <si>
    <t>数据库存储自动增长</t>
  </si>
  <si>
    <t>R13</t>
  </si>
  <si>
    <t>1 个 PostgreSQL</t>
  </si>
  <si>
    <t>镜像仓库可用性</t>
  </si>
  <si>
    <t>R19</t>
  </si>
  <si>
    <t>1 个镜像仓库</t>
  </si>
  <si>
    <t>安全</t>
  </si>
  <si>
    <t>子网未关联 NSG</t>
  </si>
  <si>
    <t>S-N1</t>
  </si>
  <si>
    <t>NSG 对公网开放端口</t>
  </si>
  <si>
    <t>S-N2</t>
  </si>
  <si>
    <t>1 个 NSG</t>
  </si>
  <si>
    <t>公网 IP 暴露</t>
  </si>
  <si>
    <t>S-N3</t>
  </si>
  <si>
    <t>数据服务公网访问</t>
  </si>
  <si>
    <t>S-N4</t>
  </si>
  <si>
    <t>1 个 MySQL</t>
  </si>
  <si>
    <t>存储账户安全</t>
  </si>
  <si>
    <t>S-N5</t>
  </si>
  <si>
    <t>入口防护（WAF、负载均衡）</t>
  </si>
  <si>
    <t>S-N6</t>
  </si>
  <si>
    <t>1 个应用网关</t>
  </si>
  <si>
    <t>传输加密（TLS）</t>
  </si>
  <si>
    <t>S-N7</t>
  </si>
  <si>
    <t>1 个 Redis</t>
  </si>
  <si>
    <t>私有终结点连接状态</t>
  </si>
  <si>
    <t>S-N8</t>
  </si>
  <si>
    <t>AKS API Server 访问</t>
  </si>
  <si>
    <t>S-I1</t>
  </si>
  <si>
    <t>安全：各检查项问题数量</t>
  </si>
  <si>
    <t>AKS 身份认证</t>
  </si>
  <si>
    <t>S-I2</t>
  </si>
  <si>
    <t>AKS 安全功能与补丁</t>
  </si>
  <si>
    <t>S-I3</t>
  </si>
  <si>
    <t>Defender for Cloud</t>
  </si>
  <si>
    <t>S-I4</t>
  </si>
  <si>
    <t>1 个订阅</t>
  </si>
  <si>
    <t>高权限角色</t>
  </si>
  <si>
    <t>S-I5</t>
  </si>
  <si>
    <t>2 个来宾账号</t>
  </si>
  <si>
    <t>凭据有效期</t>
  </si>
  <si>
    <t>S-I6</t>
  </si>
  <si>
    <t>审计日志</t>
  </si>
  <si>
    <t>S-I7</t>
  </si>
  <si>
    <t>5 个订阅</t>
  </si>
  <si>
    <t>虚拟机安全基线</t>
  </si>
  <si>
    <t>S-I8</t>
  </si>
  <si>
    <t>Key Vault</t>
  </si>
  <si>
    <t>S-I9</t>
  </si>
  <si>
    <t>1 个 Key Vault</t>
  </si>
  <si>
    <t>镜像仓库与 AI 服务认证</t>
  </si>
  <si>
    <t>S-I10</t>
  </si>
  <si>
    <t>Defender 与 Policy 逐项结果</t>
  </si>
  <si>
    <t>S-I11</t>
  </si>
  <si>
    <t>6 台虚拟机</t>
  </si>
  <si>
    <t>可靠性与安全问题清单</t>
  </si>
  <si>
    <t>每行一个问题；同类问题已按订阅或资源合并，涉及的资源见“涉及资源”。负责人、客户决定、处理状态和完成日期由客户填写。</t>
  </si>
  <si>
    <t>严重程度</t>
  </si>
  <si>
    <t>订阅</t>
  </si>
  <si>
    <t>资源组</t>
  </si>
  <si>
    <t>资源</t>
  </si>
  <si>
    <t>资源类型</t>
  </si>
  <si>
    <t>环境（推断）</t>
  </si>
  <si>
    <t>发现</t>
  </si>
  <si>
    <t>建议</t>
  </si>
  <si>
    <t>验收标准</t>
  </si>
  <si>
    <t>需要客户确认</t>
  </si>
  <si>
    <t>与同类资源的差异</t>
  </si>
  <si>
    <t>根本原因</t>
  </si>
  <si>
    <t>对齐标准的做法</t>
  </si>
  <si>
    <t>涉及资源</t>
  </si>
  <si>
    <t>与上月相比</t>
  </si>
  <si>
    <t>负责人</t>
  </si>
  <si>
    <t>客户决定</t>
  </si>
  <si>
    <t>处理状态</t>
  </si>
  <si>
    <t>完成日期</t>
  </si>
  <si>
    <t>R5-092698</t>
  </si>
  <si>
    <t>pay-prod</t>
  </si>
  <si>
    <t>pay-rg</t>
  </si>
  <si>
    <t>pay-mysql-prod</t>
  </si>
  <si>
    <t>Microsoft.DBforMySQL/flexibleServers</t>
  </si>
  <si>
    <t>生产（推断：资源名称）</t>
  </si>
  <si>
    <t>MySQL pay-mysql-prod（生产）没有开启高可用，也没有开启异地备份；所在可用区故障时支付服务不可用，备份也只保存在同一区域。</t>
  </si>
  <si>
    <t>开启跨可用区高可用，并开启异地冗余备份（需维护窗口）</t>
  </si>
  <si>
    <t>生产数据库开启区域冗余高可用和异地备份；缓存开启持久化；做过一次恢复演练</t>
  </si>
  <si>
    <t>确认支付库的恢复时间目标（RTO）和数据丢失容忍度（RPO）。</t>
  </si>
  <si>
    <t>pay-mysql-prod——网络访问：公网开关=Enabled，私有终结点 0 个，公网防火墙规则 1 条，含全网放行规则 AllowAll_2026-3-14（同类标准：仅私有终结点，无公网防火墙规则（最好再关闭公网开关））；强制 TLS（require_secure_transport）：OFF（同类标准：ON）；高可用：Disabled（同类标准：ZoneRedundant（跨可用区））；备份保留天数：7 天（同类标准：14 天（按标准方式创建的生产库做法））</t>
  </si>
  <si>
    <t>pay-mysql-prod：Azure 门户“创建 MySQL 灵活服务器”向导（部署 MySqlFlexibleServer_2026-3-14T02.11.05，2026-03-14），业务线：支付</t>
  </si>
  <si>
    <t>pay-mysql-prod：为服务器创建私有终结点（或复用已有终结点），把应用连接串切到私有地址后删除全部公网防火墙规则并关闭公网访问（原地修改（需维护窗口或应用配合））；把 require_secure_transport 改为 ON（动态参数，无需重启）（原地修改（需维护窗口或应用配合））；把高可用改为跨可用区（先关闭同可用区 HA 再按跨可用区重新开启，确认区域支持）（原地修改（需维护窗口或应用配合））；把备份保留期调到 14 天（原地修改）</t>
  </si>
  <si>
    <t>仍未处理</t>
  </si>
  <si>
    <t>R13-34f7db</t>
  </si>
  <si>
    <t>data-prod</t>
  </si>
  <si>
    <t>data-rg</t>
  </si>
  <si>
    <t>data-pg-prod</t>
  </si>
  <si>
    <t>Microsoft.DBforPostgreSQL/flexibleServers</t>
  </si>
  <si>
    <t>PostgreSQL 关闭了存储自动增长，磁盘写满后数据库会变为只读：data-pg-prod（存储已用约 71%）。（APRL 建议 6293a3cc）</t>
  </si>
  <si>
    <t>开启存储自动增长，并为存储使用率配置告警。</t>
  </si>
  <si>
    <t>生产数据库开启存储自动增长，并有存储使用率告警</t>
  </si>
  <si>
    <t>S-I1-8a9a3b</t>
  </si>
  <si>
    <t>shop-prod</t>
  </si>
  <si>
    <t>shop-rg</t>
  </si>
  <si>
    <t>shop-aks</t>
  </si>
  <si>
    <t>Microsoft.ContainerService/managedClusters</t>
  </si>
  <si>
    <t>生产（推断：订阅名称）</t>
  </si>
  <si>
    <t>AKS 集群 shop-aks 的 API Server 对公网开放且没有限制来源 IP，本地账号也没有禁用。</t>
  </si>
  <si>
    <t>设置授权 IP 范围或改为私有集群；集成 Entra ID 并禁用本地账号</t>
  </si>
  <si>
    <t>API Server 限制来源 IP 或为私有集群</t>
  </si>
  <si>
    <t>S-N4-b385e1</t>
  </si>
  <si>
    <t>MySQL pay-mysql-prod 的防火墙规则 AllowAll 放行 0.0.0.0–255.255.255.255，任何地址都能连接数据库端口。</t>
  </si>
  <si>
    <t>删除全网放行规则，改用私有终结点访问</t>
  </si>
  <si>
    <t>数据服务关闭公网访问或只允许必要来源，优先使用私有终结点</t>
  </si>
  <si>
    <t>仍未处理（上月为中）</t>
  </si>
  <si>
    <t>S-N5-810548</t>
  </si>
  <si>
    <t>shopassets</t>
  </si>
  <si>
    <t>Microsoft.Storage/storageAccounts</t>
  </si>
  <si>
    <t>存储账户 shopassets 的 exports 容器允许匿名访问，任何人无需登录即可列出和下载其中文件。</t>
  </si>
  <si>
    <t>确认容器内容；不需要公开的关闭匿名访问</t>
  </si>
  <si>
    <t>存储账户禁止匿名访问、只允许 HTTPS 和 TLS 1.2，并按需限制网络访问</t>
  </si>
  <si>
    <t>确认 exports 容器是否存放对外分发的公开文件。</t>
  </si>
  <si>
    <t>shopassets——网络访问：公网=Enabled，默认动作=Allow，IP/VNet 规则 0/0，私有终结点 0 个（同类标准：关闭公网或默认拒绝 + 私有终结点）；Blob 软删除：未开启（同类标准：开启）；允许匿名 Blob 访问：True（同类标准：禁止（allowBlobPublicAccess=false））</t>
  </si>
  <si>
    <t>shopassets：未知：没有标准创建标签，部署历史中也没有创建记录，创建于 2024-11-05，业务线：电商</t>
  </si>
  <si>
    <t>shopassets：先加私有终结点、切换内部访问后关闭公网（原地修改（需维护窗口或应用配合））；开启 Blob 与容器软删除（建议 7~14 天）（原地修改）；关闭账户级匿名访问开关（当前没有匿名容器的账户可直接关闭）（原地修改）</t>
  </si>
  <si>
    <t>R3-6bc9cd</t>
  </si>
  <si>
    <t>4 台前端虚拟机 shop-web-01～04 都部署在同一可用区，没有分布到多个可用区。</t>
  </si>
  <si>
    <t>新建虚拟机时分布到 3 个可用区，或改用虚拟机规模集</t>
  </si>
  <si>
    <t>生产节点池、应用网关、NAT 网关和关键虚拟机部署在至少 2 个可用区</t>
  </si>
  <si>
    <t>shop-web-01；shop-web-02；shop-web-03；shop-web-04</t>
  </si>
  <si>
    <t>R4-0e620e</t>
  </si>
  <si>
    <t>AKS 集群 shop-aks（生产）使用 Free 层，控制面没有 SLA。</t>
  </si>
  <si>
    <t>升级到 Standard 层</t>
  </si>
  <si>
    <t>生产集群使用 Standard 层（有 SLA）</t>
  </si>
  <si>
    <t>R5-bd992e</t>
  </si>
  <si>
    <t>shop-mysql-prod</t>
  </si>
  <si>
    <t>MySQL shop-mysql-prod（生产）已开启同可用区高可用，但没有开启异地备份。</t>
  </si>
  <si>
    <t>开启异地冗余备份</t>
  </si>
  <si>
    <t>shop-mysql-prod——高可用：SameZone（同类标准：ZoneRedundant（跨可用区））</t>
  </si>
  <si>
    <t>shop-mysql-prod：Terraform（带 managed_by=terraform 标签），业务线：电商</t>
  </si>
  <si>
    <t>shop-mysql-prod：把高可用改为跨可用区（先关闭同可用区 HA 再按跨可用区重新开启，确认区域支持）（原地修改（需维护窗口或应用配合））</t>
  </si>
  <si>
    <t>R6-ada966</t>
  </si>
  <si>
    <t>datalakeraw</t>
  </si>
  <si>
    <t>存储账户 datalakeraw（约 26 TiB）为本地冗余（LRS），没有开启 Blob 软删除；误删或机房故障时数据无法恢复。</t>
  </si>
  <si>
    <t>开启 Blob 与容器软删除；按数据重要性改为 ZRS 或 GRS</t>
  </si>
  <si>
    <t>存放重要数据的存储账户使用 ZRS/GRS，并开启软删除和版本控制</t>
  </si>
  <si>
    <t>datalakeraw——网络访问：公网=Enabled，默认动作=Allow，IP/VNet 规则 0/0，私有终结点 0 个（同类标准：关闭公网或默认拒绝 + 私有终结点）；最低 TLS 版本：TLS1_0（同类标准：TLS1_2（3/4 个账户））；Blob 软删除：未开启（同类标准：开启）</t>
  </si>
  <si>
    <t>datalakeraw：Terraform（带 managed_by=terraform 标签），创建于 2024-08-20，业务线：数据平台</t>
  </si>
  <si>
    <t>datalakeraw：先加私有终结点、切换内部访问后关闭公网（原地修改（需维护窗口或应用配合））；把最低 TLS 版本改为 1.2（Azure 存储已停止支持 TLS 1.0/1.1）（原地修改）；开启 Blob 与容器软删除（建议 7~14 天）（原地修改）</t>
  </si>
  <si>
    <t>R7-f9ae66</t>
  </si>
  <si>
    <t>2 台保存数据的生产虚拟机没有配置备份：shop-batch-01（512 GiB 数据盘）、shop-search-01（512 GiB 数据盘）。</t>
  </si>
  <si>
    <t>确认数据是否可以重建；不可重建的配置 Azure Backup，并做一次恢复测试</t>
  </si>
  <si>
    <t>保存不可重建数据的虚拟机已配置 Azure Backup，并完成一次恢复测试</t>
  </si>
  <si>
    <t>shop-batch-01；shop-search-01</t>
  </si>
  <si>
    <t>R19-6ee8b8</t>
  </si>
  <si>
    <t>contosoacr</t>
  </si>
  <si>
    <t>Microsoft.ContainerRegistry/registries</t>
  </si>
  <si>
    <t>镜像仓库不是 Premium 层，不支持异地复制和区域冗余，限流也更低：contosoacr。（APRL 建议 eb005943）</t>
  </si>
  <si>
    <t>生产镜像仓库改为 Premium 层，并按需开启异地复制。</t>
  </si>
  <si>
    <t>生产镜像仓库为 Premium 层，开启区域冗余和软删除</t>
  </si>
  <si>
    <t>S-I4-71e011</t>
  </si>
  <si>
    <t>Microsoft.Resources/subscriptions</t>
  </si>
  <si>
    <t>data-prod 订阅的 Defender 服务器和数据库计划为免费层，有 6 条高严重性建议未处理。</t>
  </si>
  <si>
    <t>为生产订阅开启服务器和数据库的 Defender 计划</t>
  </si>
  <si>
    <t>生产订阅开启对应资源的 Defender 计划，并配置安全告警联系人；高严重性建议有处理计划</t>
  </si>
  <si>
    <t>S-I5-d06d70</t>
  </si>
  <si>
    <t>2 个来宾账号在 shop-prod 订阅拥有 Owner 权限。</t>
  </si>
  <si>
    <t>确认来宾账号是否仍需要；需要的改为最小权限角色并设置到期时间</t>
  </si>
  <si>
    <t>高权限角色按人分配并有审批，没有共享账号和长期的临时提权</t>
  </si>
  <si>
    <t>来宾账号 1；来宾账号 2</t>
  </si>
  <si>
    <t>S-I11-0022c1</t>
  </si>
  <si>
    <t>多个订阅（2 个）</t>
  </si>
  <si>
    <t>6 个资源</t>
  </si>
  <si>
    <t>多个环境（含生产）</t>
  </si>
  <si>
    <t>Defender for Cloud 高严重性建议“Machines should have vulnerability findings resolved”已超过 30 天未处理（最长 74 天），涉及 6 个资源，分布在 2 个订阅</t>
  </si>
  <si>
    <t>在 Defender for Cloud 中按建议的修复步骤处理；确实不适用的设为豁免并写明原因</t>
  </si>
  <si>
    <t>超过 30 天的高严重性 Defender 建议已处理或有记录的豁免；已分配策略的不合规资源已修正或豁免</t>
  </si>
  <si>
    <t>shop-web-01；shop-web-02；shop-web-03；shop-web-04；shop-batch-01；data-etl-01</t>
  </si>
  <si>
    <t>新增检查项发现</t>
  </si>
  <si>
    <t>S-N2-b7847d</t>
  </si>
  <si>
    <t>shop-web-nsg</t>
  </si>
  <si>
    <t>Microsoft.Network/networkSecurityGroups</t>
  </si>
  <si>
    <t>NSG shop-web-nsg 允许 Internet 任意来源访问 SSH（22）。</t>
  </si>
  <si>
    <t>把来源改为办公网或 VPN 出口 IP，管理访问改用 Bastion</t>
  </si>
  <si>
    <t>NSG 不再允许 Internet 任意来源访问管理端口和数据、中间件端口</t>
  </si>
  <si>
    <t>S-N7-6098be</t>
  </si>
  <si>
    <t>shop-redis-prod</t>
  </si>
  <si>
    <t>Microsoft.Cache/Redis</t>
  </si>
  <si>
    <t>Redis shop-redis-prod 开启了非 TLS 端口（6379）。</t>
  </si>
  <si>
    <t>关闭非 TLS 端口，客户端改用 6380</t>
  </si>
  <si>
    <t>数据服务强制加密连接，最低 TLS 1.2</t>
  </si>
  <si>
    <t>R9-e39f80</t>
  </si>
  <si>
    <t>AKS 集群 shop-aks 的 Kubernetes 版本 1.31 将在 3 个月内结束标准支持。</t>
  </si>
  <si>
    <t>规划升级到 1.33，并开启自动升级通道</t>
  </si>
  <si>
    <t>集群版本在标准支持期内并开启自动升级；节点镜像 30 天内更新过；即将退役的组件有迁移计划</t>
  </si>
  <si>
    <t>S-I7-2aa243</t>
  </si>
  <si>
    <t>多个订阅（5 个）</t>
  </si>
  <si>
    <t>5 个订阅的活动日志都没有导出，只能保留 90 天。</t>
  </si>
  <si>
    <t>把活动日志导出到日志工作区或存储账户</t>
  </si>
  <si>
    <t>活动日志导出到日志工作区或存储，保留期满足审计要求；关键网络开启流日志</t>
  </si>
  <si>
    <t>shop-prod；shop-test；pay-prod；data-prod；shared-network</t>
  </si>
  <si>
    <t>S-I9-904bd8</t>
  </si>
  <si>
    <t>pay-kv</t>
  </si>
  <si>
    <t>Microsoft.KeyVault/vaults</t>
  </si>
  <si>
    <t>Key Vault pay-kv 没有开启清除保护。</t>
  </si>
  <si>
    <t>开启清除保护（开启后不能关闭）</t>
  </si>
  <si>
    <t>生产 Key Vault 开启清除保护和软删除，并使用 RBAC 授权</t>
  </si>
  <si>
    <t>S-N6-1db18d</t>
  </si>
  <si>
    <t>shop-appgw</t>
  </si>
  <si>
    <t>Microsoft.Network/applicationGateways</t>
  </si>
  <si>
    <t>应用网关 shop-appgw 的 WAF 策略为检测模式，只记录不拦截。</t>
  </si>
  <si>
    <t>观察误报一周后切换为阻止模式</t>
  </si>
  <si>
    <t>对外入口启用 WAF 且为阻止模式；负载均衡不暴露管理端口</t>
  </si>
  <si>
    <t>检查覆盖情况</t>
  </si>
  <si>
    <t>读取失败或未检查的内容不视为没有问题。</t>
  </si>
  <si>
    <t>尝试</t>
  </si>
  <si>
    <t>成功</t>
  </si>
  <si>
    <t>失败或无权限</t>
  </si>
  <si>
    <t>说明</t>
  </si>
  <si>
    <t>未检查</t>
  </si>
  <si>
    <t>未启用订阅</t>
  </si>
  <si>
    <t>另有 1 个未启用订阅（old-lab）无法读取，未纳入检查</t>
  </si>
  <si>
    <t>Azure Landing Zone 检查清单对照（可自动核对的条目）</t>
  </si>
  <si>
    <t>来自微软 Azure Review Checklists；架构设计参考，不计入问题数。“清单原文”为英文原文。</t>
  </si>
  <si>
    <t>领域</t>
  </si>
  <si>
    <t>条目</t>
  </si>
  <si>
    <t>清单重要性</t>
  </si>
  <si>
    <t>结果</t>
  </si>
  <si>
    <t>不符合</t>
  </si>
  <si>
    <t>符合</t>
  </si>
  <si>
    <t>不符合示例</t>
  </si>
  <si>
    <t>清单原文</t>
  </si>
  <si>
    <t>链接</t>
  </si>
  <si>
    <t>身份与访问</t>
  </si>
  <si>
    <t>用 Entra 组分配权限，而不是直接分配给个人</t>
  </si>
  <si>
    <t>有不符合项</t>
  </si>
  <si>
    <t>shop-vnet、data-vnet</t>
  </si>
  <si>
    <t>Use Microsoft Entra groups to assign permissions. Add on-premises groups to the Entra ID only group if a group management system is already in place.</t>
  </si>
  <si>
    <t>https://learn.microsoft.com/entra/fundamentals/how-to-manage-groups</t>
  </si>
  <si>
    <t>域控制器跨可用区部署至少两台</t>
  </si>
  <si>
    <t>全部符合</t>
  </si>
  <si>
    <t>When deploying Active Directory Domain Controllers, use a location with Availability Zones and deploy at least two VMs across these zones. If not available, deploy in an Availability Set.</t>
  </si>
  <si>
    <t>https://learn.microsoft.com/azure/architecture/reference-architectures/identity/adds-extend-domain#vm-recommendations</t>
  </si>
  <si>
    <t>为平台、网络、安全等关键角色使用自定义 RBAC 角色</t>
  </si>
  <si>
    <t>不适用（没有相关资源）</t>
  </si>
  <si>
    <t>Use Azure custom RBAC roles for the following key roles to provide fine-grain access across your ALZ: Azure platform owner, network management, security operations, subscription owner, application owner. Align these roles to teams and responsibilities within your business.</t>
  </si>
  <si>
    <t>https://learn.microsoft.com/azure/cloud-adoption-framework/ready/landing-zone/design-area/identity-access#prerequisites-for-a-landing-zone---design-recommendations</t>
  </si>
  <si>
    <t>身份服务放在独立虚拟网络并与中心网络对等</t>
  </si>
  <si>
    <t>Configure Identity network segmentation through the use of a virtual Network and peer back to the hub. Providing authentication inside application landing zone (legacy).</t>
  </si>
  <si>
    <t>https://learn.microsoft.com/azure/cloud-adoption-framework/ready/landing-zone/design-area/identity-access-landing-zones#identity-and-access-management-in-the-azure-landing-zone-accelerator</t>
  </si>
  <si>
    <t>尽量减少订阅 Owner 数量</t>
  </si>
  <si>
    <t>Restrict and minimize the number of account owners within the enrollment to limit administrator access to subscriptions and associated Azure resources.</t>
  </si>
  <si>
    <t>https://learn.microsoft.com/azure/cloud-adoption-framework/ready/landing-zone/design-area/azure-billing-enterprise-agreement</t>
  </si>
  <si>
    <t>资源组织</t>
  </si>
  <si>
    <t>管理组层级不超过四层</t>
  </si>
  <si>
    <t>Enforce reasonably flat management group hierarchy with no more than four levels.</t>
  </si>
  <si>
    <t>https://learn.microsoft.com/azure/cloud-adoption-framework/ready/landing-zone/design-area/resource-org-management-groups</t>
  </si>
  <si>
    <t>订阅不直接放在根管理组下</t>
  </si>
  <si>
    <t>Enforce no subscriptions are placed under the root management group.</t>
  </si>
  <si>
    <t>https://learn.microsoft.com/azure/governance/management-groups/how-to/protect-resource-hierarchy#setting---default-management-group</t>
  </si>
  <si>
    <t>用标签支持计费和成本管理</t>
  </si>
  <si>
    <t>Ensure tags are used for billing and cost management.</t>
  </si>
  <si>
    <t>https://learn.microsoft.com/azure/cloud-adoption-framework/ready/azure-best-practices/track-costs</t>
  </si>
  <si>
    <t>网络拓扑与连接</t>
  </si>
  <si>
    <t>Route Server 子网使用 /27</t>
  </si>
  <si>
    <t>If using Route Server, use a /27 prefix for the Route Server subnet.</t>
  </si>
  <si>
    <t>https://learn.microsoft.com/azure/route-server/quickstart-configure-route-server-portal#create-a-route-server-1</t>
  </si>
  <si>
    <t>单区域分支网络超过 400 个时增加中心网络</t>
  </si>
  <si>
    <t>If you have more than 400 spoke networks in a region, deploy an additional hub to bypass VNet peering limits (500) and the maximum number of prefixes that can be advertised via ExpressRoute (1000).</t>
  </si>
  <si>
    <t>https://learn.microsoft.com/azure/azure-resource-manager/management/azure-subscription-service-limits?toc=/azure/virtual-network/toc.json#azure-resource-manager-virtual-networking-limits</t>
  </si>
  <si>
    <t>每个路由表不超过 400 条路由</t>
  </si>
  <si>
    <t>Limit the number of routes per route table to 400.</t>
  </si>
  <si>
    <t>VNet 对等启用“允许流量到远程虚拟网络”</t>
  </si>
  <si>
    <t>Use the setting 'Allow traffic to remote virtual network' when configuring VNet peerings.</t>
  </si>
  <si>
    <t>https://learn.microsoft.com/azure/virtual-network/virtual-network-manage-peering</t>
  </si>
  <si>
    <t>使用 RFC 1918 私有地址段</t>
  </si>
  <si>
    <t>Use IP addresses from the address allocation ranges for private internets (RFC 1918).</t>
  </si>
  <si>
    <t>https://learn.microsoft.com/azure/cloud-adoption-framework/ready/azure-best-practices/plan-for-ip-addressing</t>
  </si>
  <si>
    <t>不创建过大的虚拟网络（如 /16），避免浪费地址空间</t>
  </si>
  <si>
    <t>Ensure that IP address space isn't wasted, don't create unnecessarily large virtual networks (for example /16).</t>
  </si>
  <si>
    <t>Bastion 子网使用 /26 或更大</t>
  </si>
  <si>
    <t>Use Azure Bastion in a subnet /26 or larger.</t>
  </si>
  <si>
    <t>https://learn.microsoft.com/azure/bastion/bastion-faq#subnet</t>
  </si>
  <si>
    <t>按带宽需求选择专线/VPN 网关规格</t>
  </si>
  <si>
    <t>Select the right SKU for the ExpressRoute/VPN gateways based on bandwidth and performance requirements.</t>
  </si>
  <si>
    <t>https://learn.microsoft.com/azure/expressroute/expressroute-about-virtual-network-gateways?source=recommendations#gwsku</t>
  </si>
  <si>
    <t>2026-08 的问题本月的情况</t>
  </si>
  <si>
    <t>“已解决”：对应检查本月已执行，问题不再出现。“本月未检查”：对应检查本月没有成功执行，不能判断是否解决。</t>
  </si>
  <si>
    <t>上月严重程度</t>
  </si>
  <si>
    <t>上月发现</t>
  </si>
  <si>
    <t>本月情况</t>
  </si>
  <si>
    <t>R2-f7e61a</t>
  </si>
  <si>
    <t>shop-aks/system</t>
  </si>
  <si>
    <t>AKS 集群 shop-aks 的系统节点池只有 1 个节点。</t>
  </si>
  <si>
    <t>已解决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</si>
</sst>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4"/>
      <color rgb="FFFFFFFF"/>
      <name val="Arial"/>
    </font>
    <font>
      <b/>
      <sz val="10"/>
      <name val="Arial"/>
    </font>
  </fonts>
  <fills count="7">
    <fill>
      <patternFill patternType="none"/>
    </fill>
    <fill>
      <patternFill patternType="gray125"/>
    </fill>
    <fill>
      <patternFill patternType="solid">
        <fgColor rgb="FF17365D"/>
      </patternFill>
    </fill>
    <fill>
      <patternFill patternType="solid">
        <fgColor rgb="FFDCE6F1"/>
      </patternFill>
    </fill>
    <fill>
      <patternFill patternType="solid">
        <fgColor rgb="FFF8CBAD"/>
      </patternFill>
    </fill>
    <fill>
      <patternFill patternType="solid">
        <fgColor rgb="FFFFE699"/>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3"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v>高</c:v>
          </c:tx>
          <c:spPr>
            <a:solidFill>
              <a:srgbClr val="184F95"/>
            </a:solidFill>
            <a:ln>
              <a:solidFill>
                <a:srgbClr val="FCFCFB"/>
              </a:solidFill>
              <a:prstDash val="solid"/>
            </a:ln>
          </c:spPr>
          <c:invertIfNegative val="1"/>
          <c:cat>
            <c:strRef>
              <c:f>概览!$B$4:$B$17</c:f>
              <c:strCache>
                <c:ptCount val="14"/>
                <c:pt idx="0">
                  <c:v>AKS 网络容量</c:v>
                </c:pt>
                <c:pt idx="1">
                  <c:v>系统节点池</c:v>
                </c:pt>
                <c:pt idx="2">
                  <c:v>可用区</c:v>
                </c:pt>
                <c:pt idx="3">
                  <c:v>AKS 控制面服务等级</c:v>
                </c:pt>
                <c:pt idx="4">
                  <c:v>数据库高可用与备份</c:v>
                </c:pt>
                <c:pt idx="5">
                  <c:v>存储冗余与恢复</c:v>
                </c:pt>
                <c:pt idx="6">
                  <c:v>虚拟机备份</c:v>
                </c:pt>
                <c:pt idx="7">
                  <c:v>出站连接</c:v>
                </c:pt>
                <c:pt idx="8">
                  <c:v>版本与组件退役</c:v>
                </c:pt>
                <c:pt idx="9">
                  <c:v>配额</c:v>
                </c:pt>
                <c:pt idx="10">
                  <c:v>资源健康</c:v>
                </c:pt>
                <c:pt idx="11">
                  <c:v>近期失败操作</c:v>
                </c:pt>
                <c:pt idx="12">
                  <c:v>数据库存储自动增长</c:v>
                </c:pt>
                <c:pt idx="13">
                  <c:v>镜像仓库可用性</c:v>
                </c:pt>
              </c:strCache>
            </c:strRef>
          </c:cat>
          <c:val>
            <c:numRef>
              <c:f>概览!$D$4:$D$17</c:f>
              <c:numCache>
                <c:formatCode>General</c:formatCode>
                <c:ptCount val="14"/>
                <c:pt idx="0">
                  <c:v>0</c:v>
                </c:pt>
                <c:pt idx="1">
                  <c:v>0</c:v>
                </c:pt>
                <c:pt idx="2">
                  <c:v>0</c:v>
                </c:pt>
                <c:pt idx="3">
                  <c:v>0</c:v>
                </c:pt>
                <c:pt idx="4">
                  <c:v>1</c:v>
                </c:pt>
                <c:pt idx="5">
                  <c:v>0</c:v>
                </c:pt>
                <c:pt idx="6">
                  <c:v>0</c:v>
                </c:pt>
                <c:pt idx="7">
                  <c:v>0</c:v>
                </c:pt>
                <c:pt idx="8">
                  <c:v>0</c:v>
                </c:pt>
                <c:pt idx="9">
                  <c:v>0</c:v>
                </c:pt>
                <c:pt idx="10">
                  <c:v>0</c:v>
                </c:pt>
                <c:pt idx="11">
                  <c:v>0</c:v>
                </c:pt>
                <c:pt idx="12">
                  <c:v>1</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0-9154-4916-9B3F-78EC1EDA05A5}"/>
            </c:ext>
          </c:extLst>
        </c:ser>
        <c:ser>
          <c:idx val="1"/>
          <c:order val="1"/>
          <c:tx>
            <c:v>中</c:v>
          </c:tx>
          <c:spPr>
            <a:solidFill>
              <a:srgbClr val="3987E5"/>
            </a:solidFill>
            <a:ln>
              <a:solidFill>
                <a:srgbClr val="FCFCFB"/>
              </a:solidFill>
              <a:prstDash val="solid"/>
            </a:ln>
          </c:spPr>
          <c:invertIfNegative val="1"/>
          <c:cat>
            <c:strRef>
              <c:f>概览!$B$4:$B$17</c:f>
              <c:strCache>
                <c:ptCount val="14"/>
                <c:pt idx="0">
                  <c:v>AKS 网络容量</c:v>
                </c:pt>
                <c:pt idx="1">
                  <c:v>系统节点池</c:v>
                </c:pt>
                <c:pt idx="2">
                  <c:v>可用区</c:v>
                </c:pt>
                <c:pt idx="3">
                  <c:v>AKS 控制面服务等级</c:v>
                </c:pt>
                <c:pt idx="4">
                  <c:v>数据库高可用与备份</c:v>
                </c:pt>
                <c:pt idx="5">
                  <c:v>存储冗余与恢复</c:v>
                </c:pt>
                <c:pt idx="6">
                  <c:v>虚拟机备份</c:v>
                </c:pt>
                <c:pt idx="7">
                  <c:v>出站连接</c:v>
                </c:pt>
                <c:pt idx="8">
                  <c:v>版本与组件退役</c:v>
                </c:pt>
                <c:pt idx="9">
                  <c:v>配额</c:v>
                </c:pt>
                <c:pt idx="10">
                  <c:v>资源健康</c:v>
                </c:pt>
                <c:pt idx="11">
                  <c:v>近期失败操作</c:v>
                </c:pt>
                <c:pt idx="12">
                  <c:v>数据库存储自动增长</c:v>
                </c:pt>
                <c:pt idx="13">
                  <c:v>镜像仓库可用性</c:v>
                </c:pt>
              </c:strCache>
            </c:strRef>
          </c:cat>
          <c:val>
            <c:numRef>
              <c:f>概览!$E$4:$E$17</c:f>
              <c:numCache>
                <c:formatCode>General</c:formatCode>
                <c:ptCount val="14"/>
                <c:pt idx="0">
                  <c:v>0</c:v>
                </c:pt>
                <c:pt idx="1">
                  <c:v>0</c:v>
                </c:pt>
                <c:pt idx="2">
                  <c:v>1</c:v>
                </c:pt>
                <c:pt idx="3">
                  <c:v>1</c:v>
                </c:pt>
                <c:pt idx="4">
                  <c:v>1</c:v>
                </c:pt>
                <c:pt idx="5">
                  <c:v>1</c:v>
                </c:pt>
                <c:pt idx="6">
                  <c:v>1</c:v>
                </c:pt>
                <c:pt idx="7">
                  <c:v>0</c:v>
                </c:pt>
                <c:pt idx="8">
                  <c:v>0</c:v>
                </c:pt>
                <c:pt idx="9">
                  <c:v>0</c:v>
                </c:pt>
                <c:pt idx="10">
                  <c:v>0</c:v>
                </c:pt>
                <c:pt idx="11">
                  <c:v>0</c:v>
                </c:pt>
                <c:pt idx="12">
                  <c:v>0</c:v>
                </c:pt>
                <c:pt idx="13">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1-9154-4916-9B3F-78EC1EDA05A5}"/>
            </c:ext>
          </c:extLst>
        </c:ser>
        <c:ser>
          <c:idx val="2"/>
          <c:order val="2"/>
          <c:tx>
            <c:v>低</c:v>
          </c:tx>
          <c:spPr>
            <a:solidFill>
              <a:srgbClr val="86B6EF"/>
            </a:solidFill>
            <a:ln>
              <a:solidFill>
                <a:srgbClr val="FCFCFB"/>
              </a:solidFill>
              <a:prstDash val="solid"/>
            </a:ln>
          </c:spPr>
          <c:invertIfNegative val="1"/>
          <c:cat>
            <c:strRef>
              <c:f>概览!$B$4:$B$17</c:f>
              <c:strCache>
                <c:ptCount val="14"/>
                <c:pt idx="0">
                  <c:v>AKS 网络容量</c:v>
                </c:pt>
                <c:pt idx="1">
                  <c:v>系统节点池</c:v>
                </c:pt>
                <c:pt idx="2">
                  <c:v>可用区</c:v>
                </c:pt>
                <c:pt idx="3">
                  <c:v>AKS 控制面服务等级</c:v>
                </c:pt>
                <c:pt idx="4">
                  <c:v>数据库高可用与备份</c:v>
                </c:pt>
                <c:pt idx="5">
                  <c:v>存储冗余与恢复</c:v>
                </c:pt>
                <c:pt idx="6">
                  <c:v>虚拟机备份</c:v>
                </c:pt>
                <c:pt idx="7">
                  <c:v>出站连接</c:v>
                </c:pt>
                <c:pt idx="8">
                  <c:v>版本与组件退役</c:v>
                </c:pt>
                <c:pt idx="9">
                  <c:v>配额</c:v>
                </c:pt>
                <c:pt idx="10">
                  <c:v>资源健康</c:v>
                </c:pt>
                <c:pt idx="11">
                  <c:v>近期失败操作</c:v>
                </c:pt>
                <c:pt idx="12">
                  <c:v>数据库存储自动增长</c:v>
                </c:pt>
                <c:pt idx="13">
                  <c:v>镜像仓库可用性</c:v>
                </c:pt>
              </c:strCache>
            </c:strRef>
          </c:cat>
          <c:val>
            <c:numRef>
              <c:f>概览!$F$4:$F$17</c:f>
              <c:numCache>
                <c:formatCode>General</c:formatCode>
                <c:ptCount val="14"/>
                <c:pt idx="0">
                  <c:v>0</c:v>
                </c:pt>
                <c:pt idx="1">
                  <c:v>0</c:v>
                </c:pt>
                <c:pt idx="2">
                  <c:v>0</c:v>
                </c:pt>
                <c:pt idx="3">
                  <c:v>0</c:v>
                </c:pt>
                <c:pt idx="4">
                  <c:v>0</c:v>
                </c:pt>
                <c:pt idx="5">
                  <c:v>0</c:v>
                </c:pt>
                <c:pt idx="6">
                  <c:v>0</c:v>
                </c:pt>
                <c:pt idx="7">
                  <c:v>0</c:v>
                </c:pt>
                <c:pt idx="8">
                  <c:v>1</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2-9154-4916-9B3F-78EC1EDA05A5}"/>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v>高</c:v>
          </c:tx>
          <c:spPr>
            <a:solidFill>
              <a:srgbClr val="184F95"/>
            </a:solidFill>
            <a:ln>
              <a:solidFill>
                <a:srgbClr val="FCFCFB"/>
              </a:solidFill>
              <a:prstDash val="solid"/>
            </a:ln>
          </c:spPr>
          <c:invertIfNegative val="1"/>
          <c:cat>
            <c:strRef>
              <c:f>概览!$B$18:$B$36</c:f>
              <c:strCache>
                <c:ptCount val="19"/>
                <c:pt idx="0">
                  <c:v>子网未关联 NSG</c:v>
                </c:pt>
                <c:pt idx="1">
                  <c:v>NSG 对公网开放端口</c:v>
                </c:pt>
                <c:pt idx="2">
                  <c:v>公网 IP 暴露</c:v>
                </c:pt>
                <c:pt idx="3">
                  <c:v>数据服务公网访问</c:v>
                </c:pt>
                <c:pt idx="4">
                  <c:v>存储账户安全</c:v>
                </c:pt>
                <c:pt idx="5">
                  <c:v>入口防护（WAF、负载均衡）</c:v>
                </c:pt>
                <c:pt idx="6">
                  <c:v>传输加密（TLS）</c:v>
                </c:pt>
                <c:pt idx="7">
                  <c:v>私有终结点连接状态</c:v>
                </c:pt>
                <c:pt idx="8">
                  <c:v>AKS API Server 访问</c:v>
                </c:pt>
                <c:pt idx="9">
                  <c:v>AKS 身份认证</c:v>
                </c:pt>
                <c:pt idx="10">
                  <c:v>AKS 安全功能与补丁</c:v>
                </c:pt>
                <c:pt idx="11">
                  <c:v>Defender for Cloud</c:v>
                </c:pt>
                <c:pt idx="12">
                  <c:v>高权限角色</c:v>
                </c:pt>
                <c:pt idx="13">
                  <c:v>凭据有效期</c:v>
                </c:pt>
                <c:pt idx="14">
                  <c:v>审计日志</c:v>
                </c:pt>
                <c:pt idx="15">
                  <c:v>虚拟机安全基线</c:v>
                </c:pt>
                <c:pt idx="16">
                  <c:v>Key Vault</c:v>
                </c:pt>
                <c:pt idx="17">
                  <c:v>镜像仓库与 AI 服务认证</c:v>
                </c:pt>
                <c:pt idx="18">
                  <c:v>Defender 与 Policy 逐项结果</c:v>
                </c:pt>
              </c:strCache>
            </c:strRef>
          </c:cat>
          <c:val>
            <c:numRef>
              <c:f>概览!$D$18:$D$36</c:f>
              <c:numCache>
                <c:formatCode>General</c:formatCode>
                <c:ptCount val="19"/>
                <c:pt idx="0">
                  <c:v>0</c:v>
                </c:pt>
                <c:pt idx="1">
                  <c:v>0</c:v>
                </c:pt>
                <c:pt idx="2">
                  <c:v>0</c:v>
                </c:pt>
                <c:pt idx="3">
                  <c:v>1</c:v>
                </c:pt>
                <c:pt idx="4">
                  <c:v>1</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0-F9DE-4C37-B70C-1E8C6CA60B47}"/>
            </c:ext>
          </c:extLst>
        </c:ser>
        <c:ser>
          <c:idx val="1"/>
          <c:order val="1"/>
          <c:tx>
            <c:v>中</c:v>
          </c:tx>
          <c:spPr>
            <a:solidFill>
              <a:srgbClr val="3987E5"/>
            </a:solidFill>
            <a:ln>
              <a:solidFill>
                <a:srgbClr val="FCFCFB"/>
              </a:solidFill>
              <a:prstDash val="solid"/>
            </a:ln>
          </c:spPr>
          <c:invertIfNegative val="1"/>
          <c:cat>
            <c:strRef>
              <c:f>概览!$B$18:$B$36</c:f>
              <c:strCache>
                <c:ptCount val="19"/>
                <c:pt idx="0">
                  <c:v>子网未关联 NSG</c:v>
                </c:pt>
                <c:pt idx="1">
                  <c:v>NSG 对公网开放端口</c:v>
                </c:pt>
                <c:pt idx="2">
                  <c:v>公网 IP 暴露</c:v>
                </c:pt>
                <c:pt idx="3">
                  <c:v>数据服务公网访问</c:v>
                </c:pt>
                <c:pt idx="4">
                  <c:v>存储账户安全</c:v>
                </c:pt>
                <c:pt idx="5">
                  <c:v>入口防护（WAF、负载均衡）</c:v>
                </c:pt>
                <c:pt idx="6">
                  <c:v>传输加密（TLS）</c:v>
                </c:pt>
                <c:pt idx="7">
                  <c:v>私有终结点连接状态</c:v>
                </c:pt>
                <c:pt idx="8">
                  <c:v>AKS API Server 访问</c:v>
                </c:pt>
                <c:pt idx="9">
                  <c:v>AKS 身份认证</c:v>
                </c:pt>
                <c:pt idx="10">
                  <c:v>AKS 安全功能与补丁</c:v>
                </c:pt>
                <c:pt idx="11">
                  <c:v>Defender for Cloud</c:v>
                </c:pt>
                <c:pt idx="12">
                  <c:v>高权限角色</c:v>
                </c:pt>
                <c:pt idx="13">
                  <c:v>凭据有效期</c:v>
                </c:pt>
                <c:pt idx="14">
                  <c:v>审计日志</c:v>
                </c:pt>
                <c:pt idx="15">
                  <c:v>虚拟机安全基线</c:v>
                </c:pt>
                <c:pt idx="16">
                  <c:v>Key Vault</c:v>
                </c:pt>
                <c:pt idx="17">
                  <c:v>镜像仓库与 AI 服务认证</c:v>
                </c:pt>
                <c:pt idx="18">
                  <c:v>Defender 与 Policy 逐项结果</c:v>
                </c:pt>
              </c:strCache>
            </c:strRef>
          </c:cat>
          <c:val>
            <c:numRef>
              <c:f>概览!$E$18:$E$36</c:f>
              <c:numCache>
                <c:formatCode>General</c:formatCode>
                <c:ptCount val="19"/>
                <c:pt idx="0">
                  <c:v>0</c:v>
                </c:pt>
                <c:pt idx="1">
                  <c:v>1</c:v>
                </c:pt>
                <c:pt idx="2">
                  <c:v>0</c:v>
                </c:pt>
                <c:pt idx="3">
                  <c:v>0</c:v>
                </c:pt>
                <c:pt idx="4">
                  <c:v>0</c:v>
                </c:pt>
                <c:pt idx="5">
                  <c:v>0</c:v>
                </c:pt>
                <c:pt idx="6">
                  <c:v>1</c:v>
                </c:pt>
                <c:pt idx="7">
                  <c:v>0</c:v>
                </c:pt>
                <c:pt idx="8">
                  <c:v>0</c:v>
                </c:pt>
                <c:pt idx="9">
                  <c:v>0</c:v>
                </c:pt>
                <c:pt idx="10">
                  <c:v>0</c:v>
                </c:pt>
                <c:pt idx="11">
                  <c:v>1</c:v>
                </c:pt>
                <c:pt idx="12">
                  <c:v>1</c:v>
                </c:pt>
                <c:pt idx="13">
                  <c:v>0</c:v>
                </c:pt>
                <c:pt idx="14">
                  <c:v>0</c:v>
                </c:pt>
                <c:pt idx="15">
                  <c:v>0</c:v>
                </c:pt>
                <c:pt idx="16">
                  <c:v>0</c:v>
                </c:pt>
                <c:pt idx="17">
                  <c:v>0</c:v>
                </c:pt>
                <c:pt idx="1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1-F9DE-4C37-B70C-1E8C6CA60B47}"/>
            </c:ext>
          </c:extLst>
        </c:ser>
        <c:ser>
          <c:idx val="2"/>
          <c:order val="2"/>
          <c:tx>
            <c:v>低</c:v>
          </c:tx>
          <c:spPr>
            <a:solidFill>
              <a:srgbClr val="86B6EF"/>
            </a:solidFill>
            <a:ln>
              <a:solidFill>
                <a:srgbClr val="FCFCFB"/>
              </a:solidFill>
              <a:prstDash val="solid"/>
            </a:ln>
          </c:spPr>
          <c:invertIfNegative val="1"/>
          <c:cat>
            <c:strRef>
              <c:f>概览!$B$18:$B$36</c:f>
              <c:strCache>
                <c:ptCount val="19"/>
                <c:pt idx="0">
                  <c:v>子网未关联 NSG</c:v>
                </c:pt>
                <c:pt idx="1">
                  <c:v>NSG 对公网开放端口</c:v>
                </c:pt>
                <c:pt idx="2">
                  <c:v>公网 IP 暴露</c:v>
                </c:pt>
                <c:pt idx="3">
                  <c:v>数据服务公网访问</c:v>
                </c:pt>
                <c:pt idx="4">
                  <c:v>存储账户安全</c:v>
                </c:pt>
                <c:pt idx="5">
                  <c:v>入口防护（WAF、负载均衡）</c:v>
                </c:pt>
                <c:pt idx="6">
                  <c:v>传输加密（TLS）</c:v>
                </c:pt>
                <c:pt idx="7">
                  <c:v>私有终结点连接状态</c:v>
                </c:pt>
                <c:pt idx="8">
                  <c:v>AKS API Server 访问</c:v>
                </c:pt>
                <c:pt idx="9">
                  <c:v>AKS 身份认证</c:v>
                </c:pt>
                <c:pt idx="10">
                  <c:v>AKS 安全功能与补丁</c:v>
                </c:pt>
                <c:pt idx="11">
                  <c:v>Defender for Cloud</c:v>
                </c:pt>
                <c:pt idx="12">
                  <c:v>高权限角色</c:v>
                </c:pt>
                <c:pt idx="13">
                  <c:v>凭据有效期</c:v>
                </c:pt>
                <c:pt idx="14">
                  <c:v>审计日志</c:v>
                </c:pt>
                <c:pt idx="15">
                  <c:v>虚拟机安全基线</c:v>
                </c:pt>
                <c:pt idx="16">
                  <c:v>Key Vault</c:v>
                </c:pt>
                <c:pt idx="17">
                  <c:v>镜像仓库与 AI 服务认证</c:v>
                </c:pt>
                <c:pt idx="18">
                  <c:v>Defender 与 Policy 逐项结果</c:v>
                </c:pt>
              </c:strCache>
            </c:strRef>
          </c:cat>
          <c:val>
            <c:numRef>
              <c:f>概览!$F$18:$F$36</c:f>
              <c:numCache>
                <c:formatCode>General</c:formatCode>
                <c:ptCount val="19"/>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1</c:v>
                </c:pt>
                <c:pt idx="15">
                  <c:v>0</c:v>
                </c:pt>
                <c:pt idx="16">
                  <c:v>1</c:v>
                </c:pt>
                <c:pt idx="17">
                  <c:v>0</c:v>
                </c:pt>
                <c:pt idx="1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2-F9DE-4C37-B70C-1E8C6CA60B47}"/>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6480000" cy="3852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26</xdr:row>
      <xdr:rowOff>0</xdr:rowOff>
    </xdr:from>
    <xdr:ext cx="6480000" cy="4842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showGridLines="0" tabSelected="1" workbookViewId="0">
      <pane ySplit="3" topLeftCell="A4" activePane="bottomLeft" state="frozen"/>
      <selection pane="bottomLeft" sqref="A1:H1"/>
    </sheetView>
  </sheetViews>
  <sheetFormatPr defaultRowHeight="14.5" x14ac:dyDescent="0.35"/>
  <cols>
    <col min="1" max="1" width="16" customWidth="1"/>
    <col min="2" max="2" width="30" customWidth="1"/>
    <col min="3" max="7" width="16" customWidth="1"/>
    <col min="8" max="8" width="45" customWidth="1"/>
  </cols>
  <sheetData>
    <row r="1" spans="1:10" ht="18" x14ac:dyDescent="0.35">
      <c r="A1" s="7" t="s">
        <v>0</v>
      </c>
      <c r="B1" s="7"/>
      <c r="C1" s="7"/>
      <c r="D1" s="7"/>
      <c r="E1" s="7"/>
      <c r="F1" s="7"/>
      <c r="G1" s="7"/>
      <c r="H1" s="7"/>
    </row>
    <row r="2" spans="1:10" ht="40" customHeight="1" x14ac:dyDescent="0.35">
      <c r="A2" s="6" t="s">
        <v>1</v>
      </c>
      <c r="B2" s="6"/>
      <c r="C2" s="6"/>
      <c r="D2" s="6"/>
      <c r="E2" s="6"/>
      <c r="F2" s="6"/>
      <c r="G2" s="6"/>
      <c r="H2" s="6"/>
    </row>
    <row r="3" spans="1:10" x14ac:dyDescent="0.35">
      <c r="A3" s="2" t="s">
        <v>2</v>
      </c>
      <c r="B3" s="2" t="s">
        <v>3</v>
      </c>
      <c r="C3" s="2" t="s">
        <v>4</v>
      </c>
      <c r="D3" s="2" t="s">
        <v>5</v>
      </c>
      <c r="E3" s="2" t="s">
        <v>6</v>
      </c>
      <c r="F3" s="2" t="s">
        <v>7</v>
      </c>
      <c r="G3" s="2" t="s">
        <v>8</v>
      </c>
      <c r="H3" s="2" t="s">
        <v>9</v>
      </c>
    </row>
    <row r="4" spans="1:10" x14ac:dyDescent="0.35">
      <c r="A4" s="1" t="s">
        <v>10</v>
      </c>
      <c r="B4" s="1" t="s">
        <v>11</v>
      </c>
      <c r="C4" s="1" t="s">
        <v>12</v>
      </c>
      <c r="D4" s="1">
        <v>0</v>
      </c>
      <c r="E4" s="1">
        <v>0</v>
      </c>
      <c r="F4" s="1">
        <v>0</v>
      </c>
      <c r="G4" s="1">
        <f t="shared" ref="G4:G36" si="0">SUM(D4:F4)</f>
        <v>0</v>
      </c>
      <c r="H4" s="1" t="s">
        <v>13</v>
      </c>
      <c r="J4" t="s">
        <v>14</v>
      </c>
    </row>
    <row r="5" spans="1:10" x14ac:dyDescent="0.35">
      <c r="A5" s="1" t="s">
        <v>10</v>
      </c>
      <c r="B5" s="1" t="s">
        <v>15</v>
      </c>
      <c r="C5" s="1" t="s">
        <v>16</v>
      </c>
      <c r="D5" s="1">
        <v>0</v>
      </c>
      <c r="E5" s="1">
        <v>0</v>
      </c>
      <c r="F5" s="1">
        <v>0</v>
      </c>
      <c r="G5" s="1">
        <f t="shared" si="0"/>
        <v>0</v>
      </c>
      <c r="H5" s="1" t="s">
        <v>13</v>
      </c>
    </row>
    <row r="6" spans="1:10" x14ac:dyDescent="0.35">
      <c r="A6" s="1" t="s">
        <v>10</v>
      </c>
      <c r="B6" s="1" t="s">
        <v>17</v>
      </c>
      <c r="C6" s="1" t="s">
        <v>18</v>
      </c>
      <c r="D6" s="1">
        <v>0</v>
      </c>
      <c r="E6" s="1">
        <v>1</v>
      </c>
      <c r="F6" s="1">
        <v>0</v>
      </c>
      <c r="G6" s="1">
        <f t="shared" si="0"/>
        <v>1</v>
      </c>
      <c r="H6" s="1" t="s">
        <v>19</v>
      </c>
    </row>
    <row r="7" spans="1:10" x14ac:dyDescent="0.35">
      <c r="A7" s="1" t="s">
        <v>10</v>
      </c>
      <c r="B7" s="1" t="s">
        <v>20</v>
      </c>
      <c r="C7" s="1" t="s">
        <v>21</v>
      </c>
      <c r="D7" s="1">
        <v>0</v>
      </c>
      <c r="E7" s="1">
        <v>1</v>
      </c>
      <c r="F7" s="1">
        <v>0</v>
      </c>
      <c r="G7" s="1">
        <f t="shared" si="0"/>
        <v>1</v>
      </c>
      <c r="H7" s="1" t="s">
        <v>22</v>
      </c>
    </row>
    <row r="8" spans="1:10" x14ac:dyDescent="0.35">
      <c r="A8" s="1" t="s">
        <v>10</v>
      </c>
      <c r="B8" s="1" t="s">
        <v>23</v>
      </c>
      <c r="C8" s="1" t="s">
        <v>24</v>
      </c>
      <c r="D8" s="1">
        <v>1</v>
      </c>
      <c r="E8" s="1">
        <v>1</v>
      </c>
      <c r="F8" s="1">
        <v>0</v>
      </c>
      <c r="G8" s="1">
        <f t="shared" si="0"/>
        <v>2</v>
      </c>
      <c r="H8" s="1" t="s">
        <v>25</v>
      </c>
    </row>
    <row r="9" spans="1:10" x14ac:dyDescent="0.35">
      <c r="A9" s="1" t="s">
        <v>10</v>
      </c>
      <c r="B9" s="1" t="s">
        <v>26</v>
      </c>
      <c r="C9" s="1" t="s">
        <v>27</v>
      </c>
      <c r="D9" s="1">
        <v>0</v>
      </c>
      <c r="E9" s="1">
        <v>1</v>
      </c>
      <c r="F9" s="1">
        <v>0</v>
      </c>
      <c r="G9" s="1">
        <f t="shared" si="0"/>
        <v>1</v>
      </c>
      <c r="H9" s="1" t="s">
        <v>28</v>
      </c>
    </row>
    <row r="10" spans="1:10" x14ac:dyDescent="0.35">
      <c r="A10" s="1" t="s">
        <v>10</v>
      </c>
      <c r="B10" s="1" t="s">
        <v>29</v>
      </c>
      <c r="C10" s="1" t="s">
        <v>30</v>
      </c>
      <c r="D10" s="1">
        <v>0</v>
      </c>
      <c r="E10" s="1">
        <v>1</v>
      </c>
      <c r="F10" s="1">
        <v>0</v>
      </c>
      <c r="G10" s="1">
        <f t="shared" si="0"/>
        <v>1</v>
      </c>
      <c r="H10" s="1" t="s">
        <v>31</v>
      </c>
    </row>
    <row r="11" spans="1:10" x14ac:dyDescent="0.35">
      <c r="A11" s="1" t="s">
        <v>10</v>
      </c>
      <c r="B11" s="1" t="s">
        <v>32</v>
      </c>
      <c r="C11" s="1" t="s">
        <v>33</v>
      </c>
      <c r="D11" s="1">
        <v>0</v>
      </c>
      <c r="E11" s="1">
        <v>0</v>
      </c>
      <c r="F11" s="1">
        <v>0</v>
      </c>
      <c r="G11" s="1">
        <f t="shared" si="0"/>
        <v>0</v>
      </c>
      <c r="H11" s="1" t="s">
        <v>13</v>
      </c>
    </row>
    <row r="12" spans="1:10" x14ac:dyDescent="0.35">
      <c r="A12" s="1" t="s">
        <v>10</v>
      </c>
      <c r="B12" s="1" t="s">
        <v>34</v>
      </c>
      <c r="C12" s="1" t="s">
        <v>35</v>
      </c>
      <c r="D12" s="1">
        <v>0</v>
      </c>
      <c r="E12" s="1">
        <v>0</v>
      </c>
      <c r="F12" s="1">
        <v>1</v>
      </c>
      <c r="G12" s="1">
        <f t="shared" si="0"/>
        <v>1</v>
      </c>
      <c r="H12" s="1" t="s">
        <v>22</v>
      </c>
    </row>
    <row r="13" spans="1:10" x14ac:dyDescent="0.35">
      <c r="A13" s="1" t="s">
        <v>10</v>
      </c>
      <c r="B13" s="1" t="s">
        <v>36</v>
      </c>
      <c r="C13" s="1" t="s">
        <v>37</v>
      </c>
      <c r="D13" s="1">
        <v>0</v>
      </c>
      <c r="E13" s="1">
        <v>0</v>
      </c>
      <c r="F13" s="1">
        <v>0</v>
      </c>
      <c r="G13" s="1">
        <f t="shared" si="0"/>
        <v>0</v>
      </c>
      <c r="H13" s="1" t="s">
        <v>13</v>
      </c>
    </row>
    <row r="14" spans="1:10" x14ac:dyDescent="0.35">
      <c r="A14" s="1" t="s">
        <v>10</v>
      </c>
      <c r="B14" s="1" t="s">
        <v>38</v>
      </c>
      <c r="C14" s="1" t="s">
        <v>39</v>
      </c>
      <c r="D14" s="1">
        <v>0</v>
      </c>
      <c r="E14" s="1">
        <v>0</v>
      </c>
      <c r="F14" s="1">
        <v>0</v>
      </c>
      <c r="G14" s="1">
        <f t="shared" si="0"/>
        <v>0</v>
      </c>
      <c r="H14" s="1" t="s">
        <v>13</v>
      </c>
    </row>
    <row r="15" spans="1:10" x14ac:dyDescent="0.35">
      <c r="A15" s="1" t="s">
        <v>10</v>
      </c>
      <c r="B15" s="1" t="s">
        <v>40</v>
      </c>
      <c r="C15" s="1" t="s">
        <v>41</v>
      </c>
      <c r="D15" s="1">
        <v>0</v>
      </c>
      <c r="E15" s="1">
        <v>0</v>
      </c>
      <c r="F15" s="1">
        <v>0</v>
      </c>
      <c r="G15" s="1">
        <f t="shared" si="0"/>
        <v>0</v>
      </c>
      <c r="H15" s="1" t="s">
        <v>13</v>
      </c>
    </row>
    <row r="16" spans="1:10" x14ac:dyDescent="0.35">
      <c r="A16" s="1" t="s">
        <v>10</v>
      </c>
      <c r="B16" s="1" t="s">
        <v>42</v>
      </c>
      <c r="C16" s="1" t="s">
        <v>43</v>
      </c>
      <c r="D16" s="1">
        <v>1</v>
      </c>
      <c r="E16" s="1">
        <v>0</v>
      </c>
      <c r="F16" s="1">
        <v>0</v>
      </c>
      <c r="G16" s="1">
        <f t="shared" si="0"/>
        <v>1</v>
      </c>
      <c r="H16" s="1" t="s">
        <v>44</v>
      </c>
    </row>
    <row r="17" spans="1:10" x14ac:dyDescent="0.35">
      <c r="A17" s="1" t="s">
        <v>10</v>
      </c>
      <c r="B17" s="1" t="s">
        <v>45</v>
      </c>
      <c r="C17" s="1" t="s">
        <v>46</v>
      </c>
      <c r="D17" s="1">
        <v>0</v>
      </c>
      <c r="E17" s="1">
        <v>1</v>
      </c>
      <c r="F17" s="1">
        <v>0</v>
      </c>
      <c r="G17" s="1">
        <f t="shared" si="0"/>
        <v>1</v>
      </c>
      <c r="H17" s="1" t="s">
        <v>47</v>
      </c>
    </row>
    <row r="18" spans="1:10" x14ac:dyDescent="0.35">
      <c r="A18" s="1" t="s">
        <v>48</v>
      </c>
      <c r="B18" s="1" t="s">
        <v>49</v>
      </c>
      <c r="C18" s="1" t="s">
        <v>50</v>
      </c>
      <c r="D18" s="1">
        <v>0</v>
      </c>
      <c r="E18" s="1">
        <v>0</v>
      </c>
      <c r="F18" s="1">
        <v>0</v>
      </c>
      <c r="G18" s="1">
        <f t="shared" si="0"/>
        <v>0</v>
      </c>
      <c r="H18" s="1" t="s">
        <v>13</v>
      </c>
    </row>
    <row r="19" spans="1:10" x14ac:dyDescent="0.35">
      <c r="A19" s="1" t="s">
        <v>48</v>
      </c>
      <c r="B19" s="1" t="s">
        <v>51</v>
      </c>
      <c r="C19" s="1" t="s">
        <v>52</v>
      </c>
      <c r="D19" s="1">
        <v>0</v>
      </c>
      <c r="E19" s="1">
        <v>1</v>
      </c>
      <c r="F19" s="1">
        <v>0</v>
      </c>
      <c r="G19" s="1">
        <f t="shared" si="0"/>
        <v>1</v>
      </c>
      <c r="H19" s="1" t="s">
        <v>53</v>
      </c>
    </row>
    <row r="20" spans="1:10" x14ac:dyDescent="0.35">
      <c r="A20" s="1" t="s">
        <v>48</v>
      </c>
      <c r="B20" s="1" t="s">
        <v>54</v>
      </c>
      <c r="C20" s="1" t="s">
        <v>55</v>
      </c>
      <c r="D20" s="1">
        <v>0</v>
      </c>
      <c r="E20" s="1">
        <v>0</v>
      </c>
      <c r="F20" s="1">
        <v>0</v>
      </c>
      <c r="G20" s="1">
        <f t="shared" si="0"/>
        <v>0</v>
      </c>
      <c r="H20" s="1" t="s">
        <v>13</v>
      </c>
    </row>
    <row r="21" spans="1:10" x14ac:dyDescent="0.35">
      <c r="A21" s="1" t="s">
        <v>48</v>
      </c>
      <c r="B21" s="1" t="s">
        <v>56</v>
      </c>
      <c r="C21" s="1" t="s">
        <v>57</v>
      </c>
      <c r="D21" s="1">
        <v>1</v>
      </c>
      <c r="E21" s="1">
        <v>0</v>
      </c>
      <c r="F21" s="1">
        <v>0</v>
      </c>
      <c r="G21" s="1">
        <f t="shared" si="0"/>
        <v>1</v>
      </c>
      <c r="H21" s="1" t="s">
        <v>58</v>
      </c>
    </row>
    <row r="22" spans="1:10" x14ac:dyDescent="0.35">
      <c r="A22" s="1" t="s">
        <v>48</v>
      </c>
      <c r="B22" s="1" t="s">
        <v>59</v>
      </c>
      <c r="C22" s="1" t="s">
        <v>60</v>
      </c>
      <c r="D22" s="1">
        <v>1</v>
      </c>
      <c r="E22" s="1">
        <v>0</v>
      </c>
      <c r="F22" s="1">
        <v>0</v>
      </c>
      <c r="G22" s="1">
        <f t="shared" si="0"/>
        <v>1</v>
      </c>
      <c r="H22" s="1" t="s">
        <v>28</v>
      </c>
    </row>
    <row r="23" spans="1:10" x14ac:dyDescent="0.35">
      <c r="A23" s="1" t="s">
        <v>48</v>
      </c>
      <c r="B23" s="1" t="s">
        <v>61</v>
      </c>
      <c r="C23" s="1" t="s">
        <v>62</v>
      </c>
      <c r="D23" s="1">
        <v>0</v>
      </c>
      <c r="E23" s="1">
        <v>0</v>
      </c>
      <c r="F23" s="1">
        <v>1</v>
      </c>
      <c r="G23" s="1">
        <f t="shared" si="0"/>
        <v>1</v>
      </c>
      <c r="H23" s="1" t="s">
        <v>63</v>
      </c>
    </row>
    <row r="24" spans="1:10" x14ac:dyDescent="0.35">
      <c r="A24" s="1" t="s">
        <v>48</v>
      </c>
      <c r="B24" s="1" t="s">
        <v>64</v>
      </c>
      <c r="C24" s="1" t="s">
        <v>65</v>
      </c>
      <c r="D24" s="1">
        <v>0</v>
      </c>
      <c r="E24" s="1">
        <v>1</v>
      </c>
      <c r="F24" s="1">
        <v>0</v>
      </c>
      <c r="G24" s="1">
        <f t="shared" si="0"/>
        <v>1</v>
      </c>
      <c r="H24" s="1" t="s">
        <v>66</v>
      </c>
    </row>
    <row r="25" spans="1:10" x14ac:dyDescent="0.35">
      <c r="A25" s="1" t="s">
        <v>48</v>
      </c>
      <c r="B25" s="1" t="s">
        <v>67</v>
      </c>
      <c r="C25" s="1" t="s">
        <v>68</v>
      </c>
      <c r="D25" s="1">
        <v>0</v>
      </c>
      <c r="E25" s="1">
        <v>0</v>
      </c>
      <c r="F25" s="1">
        <v>0</v>
      </c>
      <c r="G25" s="1">
        <f t="shared" si="0"/>
        <v>0</v>
      </c>
      <c r="H25" s="1" t="s">
        <v>13</v>
      </c>
    </row>
    <row r="26" spans="1:10" x14ac:dyDescent="0.35">
      <c r="A26" s="1" t="s">
        <v>48</v>
      </c>
      <c r="B26" s="1" t="s">
        <v>69</v>
      </c>
      <c r="C26" s="1" t="s">
        <v>70</v>
      </c>
      <c r="D26" s="1">
        <v>1</v>
      </c>
      <c r="E26" s="1">
        <v>0</v>
      </c>
      <c r="F26" s="1">
        <v>0</v>
      </c>
      <c r="G26" s="1">
        <f t="shared" si="0"/>
        <v>1</v>
      </c>
      <c r="H26" s="1" t="s">
        <v>22</v>
      </c>
      <c r="J26" t="s">
        <v>71</v>
      </c>
    </row>
    <row r="27" spans="1:10" x14ac:dyDescent="0.35">
      <c r="A27" s="1" t="s">
        <v>48</v>
      </c>
      <c r="B27" s="1" t="s">
        <v>72</v>
      </c>
      <c r="C27" s="1" t="s">
        <v>73</v>
      </c>
      <c r="D27" s="1">
        <v>0</v>
      </c>
      <c r="E27" s="1">
        <v>0</v>
      </c>
      <c r="F27" s="1">
        <v>0</v>
      </c>
      <c r="G27" s="1">
        <f t="shared" si="0"/>
        <v>0</v>
      </c>
      <c r="H27" s="1" t="s">
        <v>13</v>
      </c>
    </row>
    <row r="28" spans="1:10" x14ac:dyDescent="0.35">
      <c r="A28" s="1" t="s">
        <v>48</v>
      </c>
      <c r="B28" s="1" t="s">
        <v>74</v>
      </c>
      <c r="C28" s="1" t="s">
        <v>75</v>
      </c>
      <c r="D28" s="1">
        <v>0</v>
      </c>
      <c r="E28" s="1">
        <v>0</v>
      </c>
      <c r="F28" s="1">
        <v>0</v>
      </c>
      <c r="G28" s="1">
        <f t="shared" si="0"/>
        <v>0</v>
      </c>
      <c r="H28" s="1" t="s">
        <v>13</v>
      </c>
    </row>
    <row r="29" spans="1:10" x14ac:dyDescent="0.35">
      <c r="A29" s="1" t="s">
        <v>48</v>
      </c>
      <c r="B29" s="1" t="s">
        <v>76</v>
      </c>
      <c r="C29" s="1" t="s">
        <v>77</v>
      </c>
      <c r="D29" s="1">
        <v>0</v>
      </c>
      <c r="E29" s="1">
        <v>1</v>
      </c>
      <c r="F29" s="1">
        <v>0</v>
      </c>
      <c r="G29" s="1">
        <f t="shared" si="0"/>
        <v>1</v>
      </c>
      <c r="H29" s="1" t="s">
        <v>78</v>
      </c>
    </row>
    <row r="30" spans="1:10" x14ac:dyDescent="0.35">
      <c r="A30" s="1" t="s">
        <v>48</v>
      </c>
      <c r="B30" s="1" t="s">
        <v>79</v>
      </c>
      <c r="C30" s="1" t="s">
        <v>80</v>
      </c>
      <c r="D30" s="1">
        <v>0</v>
      </c>
      <c r="E30" s="1">
        <v>1</v>
      </c>
      <c r="F30" s="1">
        <v>0</v>
      </c>
      <c r="G30" s="1">
        <f t="shared" si="0"/>
        <v>1</v>
      </c>
      <c r="H30" s="1" t="s">
        <v>81</v>
      </c>
    </row>
    <row r="31" spans="1:10" x14ac:dyDescent="0.35">
      <c r="A31" s="1" t="s">
        <v>48</v>
      </c>
      <c r="B31" s="1" t="s">
        <v>82</v>
      </c>
      <c r="C31" s="1" t="s">
        <v>83</v>
      </c>
      <c r="D31" s="1">
        <v>0</v>
      </c>
      <c r="E31" s="1">
        <v>0</v>
      </c>
      <c r="F31" s="1">
        <v>0</v>
      </c>
      <c r="G31" s="1">
        <f t="shared" si="0"/>
        <v>0</v>
      </c>
      <c r="H31" s="1" t="s">
        <v>13</v>
      </c>
    </row>
    <row r="32" spans="1:10" x14ac:dyDescent="0.35">
      <c r="A32" s="1" t="s">
        <v>48</v>
      </c>
      <c r="B32" s="1" t="s">
        <v>84</v>
      </c>
      <c r="C32" s="1" t="s">
        <v>85</v>
      </c>
      <c r="D32" s="1">
        <v>0</v>
      </c>
      <c r="E32" s="1">
        <v>0</v>
      </c>
      <c r="F32" s="1">
        <v>1</v>
      </c>
      <c r="G32" s="1">
        <f t="shared" si="0"/>
        <v>1</v>
      </c>
      <c r="H32" s="1" t="s">
        <v>86</v>
      </c>
    </row>
    <row r="33" spans="1:8" x14ac:dyDescent="0.35">
      <c r="A33" s="1" t="s">
        <v>48</v>
      </c>
      <c r="B33" s="1" t="s">
        <v>87</v>
      </c>
      <c r="C33" s="1" t="s">
        <v>88</v>
      </c>
      <c r="D33" s="1">
        <v>0</v>
      </c>
      <c r="E33" s="1">
        <v>0</v>
      </c>
      <c r="F33" s="1">
        <v>0</v>
      </c>
      <c r="G33" s="1">
        <f t="shared" si="0"/>
        <v>0</v>
      </c>
      <c r="H33" s="1" t="s">
        <v>13</v>
      </c>
    </row>
    <row r="34" spans="1:8" x14ac:dyDescent="0.35">
      <c r="A34" s="1" t="s">
        <v>48</v>
      </c>
      <c r="B34" s="1" t="s">
        <v>89</v>
      </c>
      <c r="C34" s="1" t="s">
        <v>90</v>
      </c>
      <c r="D34" s="1">
        <v>0</v>
      </c>
      <c r="E34" s="1">
        <v>0</v>
      </c>
      <c r="F34" s="1">
        <v>1</v>
      </c>
      <c r="G34" s="1">
        <f t="shared" si="0"/>
        <v>1</v>
      </c>
      <c r="H34" s="1" t="s">
        <v>91</v>
      </c>
    </row>
    <row r="35" spans="1:8" x14ac:dyDescent="0.35">
      <c r="A35" s="1" t="s">
        <v>48</v>
      </c>
      <c r="B35" s="1" t="s">
        <v>92</v>
      </c>
      <c r="C35" s="1" t="s">
        <v>93</v>
      </c>
      <c r="D35" s="1">
        <v>0</v>
      </c>
      <c r="E35" s="1">
        <v>0</v>
      </c>
      <c r="F35" s="1">
        <v>0</v>
      </c>
      <c r="G35" s="1">
        <f t="shared" si="0"/>
        <v>0</v>
      </c>
      <c r="H35" s="1" t="s">
        <v>13</v>
      </c>
    </row>
    <row r="36" spans="1:8" x14ac:dyDescent="0.35">
      <c r="A36" s="1" t="s">
        <v>48</v>
      </c>
      <c r="B36" s="1" t="s">
        <v>94</v>
      </c>
      <c r="C36" s="1" t="s">
        <v>95</v>
      </c>
      <c r="D36" s="1">
        <v>0</v>
      </c>
      <c r="E36" s="1">
        <v>1</v>
      </c>
      <c r="F36" s="1">
        <v>0</v>
      </c>
      <c r="G36" s="1">
        <f t="shared" si="0"/>
        <v>1</v>
      </c>
      <c r="H36" s="1" t="s">
        <v>96</v>
      </c>
    </row>
    <row r="37" spans="1:8" x14ac:dyDescent="0.35">
      <c r="A37" s="1" t="s">
        <v>8</v>
      </c>
      <c r="B37" s="1"/>
      <c r="C37" s="1"/>
      <c r="D37" s="1">
        <f>SUM(D4:D36)</f>
        <v>5</v>
      </c>
      <c r="E37" s="1">
        <f>SUM(E4:E36)</f>
        <v>11</v>
      </c>
      <c r="F37" s="1">
        <f>SUM(F4:F36)</f>
        <v>4</v>
      </c>
      <c r="G37" s="1">
        <f>SUM(G4:G36)</f>
        <v>20</v>
      </c>
      <c r="H37" s="1"/>
    </row>
  </sheetData>
  <autoFilter ref="A3:H37" xr:uid="{00000000-0009-0000-0000-000000000000}"/>
  <mergeCells count="2">
    <mergeCell ref="A2:H2"/>
    <mergeCell ref="A1:H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pane ySplit="3" topLeftCell="A4" activePane="bottomLeft" state="frozen"/>
      <selection pane="bottomLeft"/>
    </sheetView>
  </sheetViews>
  <sheetFormatPr defaultRowHeight="14.5" x14ac:dyDescent="0.35"/>
  <cols>
    <col min="1" max="6" width="16" customWidth="1"/>
    <col min="7" max="7" width="30" customWidth="1"/>
    <col min="8" max="9" width="16" customWidth="1"/>
    <col min="10" max="10" width="80" customWidth="1"/>
    <col min="11" max="11" width="70" customWidth="1"/>
    <col min="12" max="13" width="50" customWidth="1"/>
    <col min="14" max="16" width="60" customWidth="1"/>
    <col min="17" max="17" width="16" customWidth="1"/>
    <col min="18" max="18" width="60" customWidth="1"/>
    <col min="19" max="19" width="24" customWidth="1"/>
    <col min="20" max="23" width="16" customWidth="1"/>
  </cols>
  <sheetData>
    <row r="1" spans="1:23" ht="18" x14ac:dyDescent="0.35">
      <c r="A1" s="7" t="s">
        <v>97</v>
      </c>
      <c r="B1" s="7"/>
      <c r="C1" s="7"/>
      <c r="D1" s="7"/>
      <c r="E1" s="7"/>
      <c r="F1" s="7"/>
      <c r="G1" s="7"/>
      <c r="H1" s="7"/>
      <c r="I1" s="7"/>
      <c r="J1" s="7"/>
      <c r="K1" s="7"/>
      <c r="L1" s="7"/>
      <c r="M1" s="7"/>
      <c r="N1" s="7"/>
      <c r="O1" s="7"/>
      <c r="P1" s="7"/>
      <c r="Q1" s="7"/>
      <c r="R1" s="7"/>
      <c r="S1" s="7"/>
      <c r="T1" s="7"/>
      <c r="U1" s="7"/>
      <c r="V1" s="7"/>
      <c r="W1" s="7"/>
    </row>
    <row r="2" spans="1:23" ht="40" customHeight="1" x14ac:dyDescent="0.35">
      <c r="A2" s="6" t="s">
        <v>98</v>
      </c>
      <c r="B2" s="6"/>
      <c r="C2" s="6"/>
      <c r="D2" s="6"/>
      <c r="E2" s="6"/>
      <c r="F2" s="6"/>
      <c r="G2" s="6"/>
      <c r="H2" s="6"/>
      <c r="I2" s="6"/>
      <c r="J2" s="6"/>
      <c r="K2" s="6"/>
      <c r="L2" s="6"/>
      <c r="M2" s="6"/>
      <c r="N2" s="6"/>
      <c r="O2" s="6"/>
      <c r="P2" s="6"/>
      <c r="Q2" s="6"/>
      <c r="R2" s="6"/>
      <c r="S2" s="6"/>
      <c r="T2" s="6"/>
      <c r="U2" s="6"/>
      <c r="V2" s="6"/>
      <c r="W2" s="6"/>
    </row>
    <row r="3" spans="1:23" x14ac:dyDescent="0.35">
      <c r="A3" s="2" t="s">
        <v>4</v>
      </c>
      <c r="B3" s="2" t="s">
        <v>2</v>
      </c>
      <c r="C3" s="2" t="s">
        <v>3</v>
      </c>
      <c r="D3" s="2" t="s">
        <v>99</v>
      </c>
      <c r="E3" s="2" t="s">
        <v>100</v>
      </c>
      <c r="F3" s="2" t="s">
        <v>101</v>
      </c>
      <c r="G3" s="2" t="s">
        <v>102</v>
      </c>
      <c r="H3" s="2" t="s">
        <v>103</v>
      </c>
      <c r="I3" s="2" t="s">
        <v>104</v>
      </c>
      <c r="J3" s="2" t="s">
        <v>105</v>
      </c>
      <c r="K3" s="2" t="s">
        <v>106</v>
      </c>
      <c r="L3" s="2" t="s">
        <v>107</v>
      </c>
      <c r="M3" s="2" t="s">
        <v>108</v>
      </c>
      <c r="N3" s="2" t="s">
        <v>109</v>
      </c>
      <c r="O3" s="2" t="s">
        <v>110</v>
      </c>
      <c r="P3" s="2" t="s">
        <v>111</v>
      </c>
      <c r="Q3" s="2" t="s">
        <v>9</v>
      </c>
      <c r="R3" s="2" t="s">
        <v>112</v>
      </c>
      <c r="S3" s="2" t="s">
        <v>113</v>
      </c>
      <c r="T3" s="2" t="s">
        <v>114</v>
      </c>
      <c r="U3" s="2" t="s">
        <v>115</v>
      </c>
      <c r="V3" s="2" t="s">
        <v>116</v>
      </c>
      <c r="W3" s="2" t="s">
        <v>117</v>
      </c>
    </row>
    <row r="4" spans="1:23" ht="100" x14ac:dyDescent="0.35">
      <c r="A4" s="1" t="s">
        <v>118</v>
      </c>
      <c r="B4" s="1" t="s">
        <v>10</v>
      </c>
      <c r="C4" s="1" t="s">
        <v>23</v>
      </c>
      <c r="D4" s="3" t="s">
        <v>5</v>
      </c>
      <c r="E4" s="1" t="s">
        <v>119</v>
      </c>
      <c r="F4" s="1" t="s">
        <v>120</v>
      </c>
      <c r="G4" s="1" t="s">
        <v>121</v>
      </c>
      <c r="H4" s="1" t="s">
        <v>122</v>
      </c>
      <c r="I4" s="1" t="s">
        <v>123</v>
      </c>
      <c r="J4" s="1" t="s">
        <v>124</v>
      </c>
      <c r="K4" s="1" t="s">
        <v>125</v>
      </c>
      <c r="L4" s="1" t="s">
        <v>126</v>
      </c>
      <c r="M4" s="1" t="s">
        <v>127</v>
      </c>
      <c r="N4" s="1" t="s">
        <v>128</v>
      </c>
      <c r="O4" s="1" t="s">
        <v>129</v>
      </c>
      <c r="P4" s="1" t="s">
        <v>130</v>
      </c>
      <c r="Q4" s="1">
        <v>1</v>
      </c>
      <c r="R4" s="1" t="s">
        <v>121</v>
      </c>
      <c r="S4" s="1" t="s">
        <v>131</v>
      </c>
      <c r="T4" s="1"/>
      <c r="U4" s="1"/>
      <c r="V4" s="1"/>
      <c r="W4" s="1"/>
    </row>
    <row r="5" spans="1:23" ht="37.5" x14ac:dyDescent="0.35">
      <c r="A5" s="1" t="s">
        <v>132</v>
      </c>
      <c r="B5" s="1" t="s">
        <v>10</v>
      </c>
      <c r="C5" s="1" t="s">
        <v>42</v>
      </c>
      <c r="D5" s="3" t="s">
        <v>5</v>
      </c>
      <c r="E5" s="1" t="s">
        <v>133</v>
      </c>
      <c r="F5" s="1" t="s">
        <v>134</v>
      </c>
      <c r="G5" s="1" t="s">
        <v>135</v>
      </c>
      <c r="H5" s="1" t="s">
        <v>136</v>
      </c>
      <c r="I5" s="1" t="s">
        <v>123</v>
      </c>
      <c r="J5" s="1" t="s">
        <v>137</v>
      </c>
      <c r="K5" s="1" t="s">
        <v>138</v>
      </c>
      <c r="L5" s="1" t="s">
        <v>139</v>
      </c>
      <c r="M5" s="1"/>
      <c r="N5" s="1"/>
      <c r="O5" s="1"/>
      <c r="P5" s="1"/>
      <c r="Q5" s="1">
        <v>1</v>
      </c>
      <c r="R5" s="1" t="s">
        <v>135</v>
      </c>
      <c r="S5" s="1" t="s">
        <v>131</v>
      </c>
      <c r="T5" s="1"/>
      <c r="U5" s="1"/>
      <c r="V5" s="1"/>
      <c r="W5" s="1"/>
    </row>
    <row r="6" spans="1:23" ht="37.5" x14ac:dyDescent="0.35">
      <c r="A6" s="1" t="s">
        <v>140</v>
      </c>
      <c r="B6" s="1" t="s">
        <v>48</v>
      </c>
      <c r="C6" s="1" t="s">
        <v>69</v>
      </c>
      <c r="D6" s="3" t="s">
        <v>5</v>
      </c>
      <c r="E6" s="1" t="s">
        <v>141</v>
      </c>
      <c r="F6" s="1" t="s">
        <v>142</v>
      </c>
      <c r="G6" s="1" t="s">
        <v>143</v>
      </c>
      <c r="H6" s="1" t="s">
        <v>144</v>
      </c>
      <c r="I6" s="1" t="s">
        <v>145</v>
      </c>
      <c r="J6" s="1" t="s">
        <v>146</v>
      </c>
      <c r="K6" s="1" t="s">
        <v>147</v>
      </c>
      <c r="L6" s="1" t="s">
        <v>148</v>
      </c>
      <c r="M6" s="1"/>
      <c r="N6" s="1"/>
      <c r="O6" s="1"/>
      <c r="P6" s="1"/>
      <c r="Q6" s="1">
        <v>1</v>
      </c>
      <c r="R6" s="1" t="s">
        <v>143</v>
      </c>
      <c r="S6" s="1" t="s">
        <v>131</v>
      </c>
      <c r="T6" s="1"/>
      <c r="U6" s="1"/>
      <c r="V6" s="1"/>
      <c r="W6" s="1"/>
    </row>
    <row r="7" spans="1:23" ht="100" x14ac:dyDescent="0.35">
      <c r="A7" s="1" t="s">
        <v>149</v>
      </c>
      <c r="B7" s="1" t="s">
        <v>48</v>
      </c>
      <c r="C7" s="1" t="s">
        <v>56</v>
      </c>
      <c r="D7" s="3" t="s">
        <v>5</v>
      </c>
      <c r="E7" s="1" t="s">
        <v>119</v>
      </c>
      <c r="F7" s="1" t="s">
        <v>120</v>
      </c>
      <c r="G7" s="1" t="s">
        <v>121</v>
      </c>
      <c r="H7" s="1" t="s">
        <v>122</v>
      </c>
      <c r="I7" s="1" t="s">
        <v>123</v>
      </c>
      <c r="J7" s="1" t="s">
        <v>150</v>
      </c>
      <c r="K7" s="1" t="s">
        <v>151</v>
      </c>
      <c r="L7" s="1" t="s">
        <v>152</v>
      </c>
      <c r="M7" s="1"/>
      <c r="N7" s="1" t="s">
        <v>128</v>
      </c>
      <c r="O7" s="1" t="s">
        <v>129</v>
      </c>
      <c r="P7" s="1" t="s">
        <v>130</v>
      </c>
      <c r="Q7" s="1">
        <v>1</v>
      </c>
      <c r="R7" s="1" t="s">
        <v>121</v>
      </c>
      <c r="S7" s="1" t="s">
        <v>153</v>
      </c>
      <c r="T7" s="1"/>
      <c r="U7" s="1"/>
      <c r="V7" s="1"/>
      <c r="W7" s="1"/>
    </row>
    <row r="8" spans="1:23" ht="50" x14ac:dyDescent="0.35">
      <c r="A8" s="1" t="s">
        <v>154</v>
      </c>
      <c r="B8" s="1" t="s">
        <v>48</v>
      </c>
      <c r="C8" s="1" t="s">
        <v>59</v>
      </c>
      <c r="D8" s="3" t="s">
        <v>5</v>
      </c>
      <c r="E8" s="1" t="s">
        <v>141</v>
      </c>
      <c r="F8" s="1" t="s">
        <v>142</v>
      </c>
      <c r="G8" s="1" t="s">
        <v>155</v>
      </c>
      <c r="H8" s="1" t="s">
        <v>156</v>
      </c>
      <c r="I8" s="1" t="s">
        <v>145</v>
      </c>
      <c r="J8" s="1" t="s">
        <v>157</v>
      </c>
      <c r="K8" s="1" t="s">
        <v>158</v>
      </c>
      <c r="L8" s="1" t="s">
        <v>159</v>
      </c>
      <c r="M8" s="1" t="s">
        <v>160</v>
      </c>
      <c r="N8" s="1" t="s">
        <v>161</v>
      </c>
      <c r="O8" s="1" t="s">
        <v>162</v>
      </c>
      <c r="P8" s="1" t="s">
        <v>163</v>
      </c>
      <c r="Q8" s="1">
        <v>1</v>
      </c>
      <c r="R8" s="1" t="s">
        <v>155</v>
      </c>
      <c r="S8" s="1" t="s">
        <v>131</v>
      </c>
      <c r="T8" s="1"/>
      <c r="U8" s="1"/>
      <c r="V8" s="1"/>
      <c r="W8" s="1"/>
    </row>
    <row r="9" spans="1:23" ht="25" x14ac:dyDescent="0.35">
      <c r="A9" s="1" t="s">
        <v>164</v>
      </c>
      <c r="B9" s="1" t="s">
        <v>10</v>
      </c>
      <c r="C9" s="1" t="s">
        <v>17</v>
      </c>
      <c r="D9" s="4" t="s">
        <v>6</v>
      </c>
      <c r="E9" s="1" t="s">
        <v>141</v>
      </c>
      <c r="F9" s="1"/>
      <c r="G9" s="1" t="s">
        <v>19</v>
      </c>
      <c r="H9" s="1"/>
      <c r="I9" s="1" t="s">
        <v>145</v>
      </c>
      <c r="J9" s="1" t="s">
        <v>165</v>
      </c>
      <c r="K9" s="1" t="s">
        <v>166</v>
      </c>
      <c r="L9" s="1" t="s">
        <v>167</v>
      </c>
      <c r="M9" s="1"/>
      <c r="N9" s="1"/>
      <c r="O9" s="1"/>
      <c r="P9" s="1"/>
      <c r="Q9" s="1">
        <v>4</v>
      </c>
      <c r="R9" s="1" t="s">
        <v>168</v>
      </c>
      <c r="S9" s="1" t="s">
        <v>131</v>
      </c>
      <c r="T9" s="1"/>
      <c r="U9" s="1"/>
      <c r="V9" s="1"/>
      <c r="W9" s="1"/>
    </row>
    <row r="10" spans="1:23" ht="37.5" x14ac:dyDescent="0.35">
      <c r="A10" s="1" t="s">
        <v>169</v>
      </c>
      <c r="B10" s="1" t="s">
        <v>10</v>
      </c>
      <c r="C10" s="1" t="s">
        <v>20</v>
      </c>
      <c r="D10" s="4" t="s">
        <v>6</v>
      </c>
      <c r="E10" s="1" t="s">
        <v>141</v>
      </c>
      <c r="F10" s="1" t="s">
        <v>142</v>
      </c>
      <c r="G10" s="1" t="s">
        <v>143</v>
      </c>
      <c r="H10" s="1" t="s">
        <v>144</v>
      </c>
      <c r="I10" s="1" t="s">
        <v>145</v>
      </c>
      <c r="J10" s="1" t="s">
        <v>170</v>
      </c>
      <c r="K10" s="1" t="s">
        <v>171</v>
      </c>
      <c r="L10" s="1" t="s">
        <v>172</v>
      </c>
      <c r="M10" s="1"/>
      <c r="N10" s="1"/>
      <c r="O10" s="1"/>
      <c r="P10" s="1"/>
      <c r="Q10" s="1">
        <v>1</v>
      </c>
      <c r="R10" s="1" t="s">
        <v>143</v>
      </c>
      <c r="S10" s="1" t="s">
        <v>131</v>
      </c>
      <c r="T10" s="1"/>
      <c r="U10" s="1"/>
      <c r="V10" s="1"/>
      <c r="W10" s="1"/>
    </row>
    <row r="11" spans="1:23" ht="37.5" x14ac:dyDescent="0.35">
      <c r="A11" s="1" t="s">
        <v>173</v>
      </c>
      <c r="B11" s="1" t="s">
        <v>10</v>
      </c>
      <c r="C11" s="1" t="s">
        <v>23</v>
      </c>
      <c r="D11" s="4" t="s">
        <v>6</v>
      </c>
      <c r="E11" s="1" t="s">
        <v>141</v>
      </c>
      <c r="F11" s="1" t="s">
        <v>142</v>
      </c>
      <c r="G11" s="1" t="s">
        <v>174</v>
      </c>
      <c r="H11" s="1" t="s">
        <v>122</v>
      </c>
      <c r="I11" s="1" t="s">
        <v>123</v>
      </c>
      <c r="J11" s="1" t="s">
        <v>175</v>
      </c>
      <c r="K11" s="1" t="s">
        <v>176</v>
      </c>
      <c r="L11" s="1" t="s">
        <v>126</v>
      </c>
      <c r="M11" s="1"/>
      <c r="N11" s="1" t="s">
        <v>177</v>
      </c>
      <c r="O11" s="1" t="s">
        <v>178</v>
      </c>
      <c r="P11" s="1" t="s">
        <v>179</v>
      </c>
      <c r="Q11" s="1">
        <v>1</v>
      </c>
      <c r="R11" s="1" t="s">
        <v>174</v>
      </c>
      <c r="S11" s="1" t="s">
        <v>131</v>
      </c>
      <c r="T11" s="1"/>
      <c r="U11" s="1"/>
      <c r="V11" s="1"/>
      <c r="W11" s="1"/>
    </row>
    <row r="12" spans="1:23" ht="50" x14ac:dyDescent="0.35">
      <c r="A12" s="1" t="s">
        <v>180</v>
      </c>
      <c r="B12" s="1" t="s">
        <v>10</v>
      </c>
      <c r="C12" s="1" t="s">
        <v>26</v>
      </c>
      <c r="D12" s="4" t="s">
        <v>6</v>
      </c>
      <c r="E12" s="1" t="s">
        <v>133</v>
      </c>
      <c r="F12" s="1" t="s">
        <v>134</v>
      </c>
      <c r="G12" s="1" t="s">
        <v>181</v>
      </c>
      <c r="H12" s="1" t="s">
        <v>156</v>
      </c>
      <c r="I12" s="1" t="s">
        <v>145</v>
      </c>
      <c r="J12" s="1" t="s">
        <v>182</v>
      </c>
      <c r="K12" s="1" t="s">
        <v>183</v>
      </c>
      <c r="L12" s="1" t="s">
        <v>184</v>
      </c>
      <c r="M12" s="1"/>
      <c r="N12" s="1" t="s">
        <v>185</v>
      </c>
      <c r="O12" s="1" t="s">
        <v>186</v>
      </c>
      <c r="P12" s="1" t="s">
        <v>187</v>
      </c>
      <c r="Q12" s="1">
        <v>1</v>
      </c>
      <c r="R12" s="1" t="s">
        <v>181</v>
      </c>
      <c r="S12" s="1" t="s">
        <v>131</v>
      </c>
      <c r="T12" s="1"/>
      <c r="U12" s="1"/>
      <c r="V12" s="1"/>
      <c r="W12" s="1"/>
    </row>
    <row r="13" spans="1:23" ht="25" x14ac:dyDescent="0.35">
      <c r="A13" s="1" t="s">
        <v>188</v>
      </c>
      <c r="B13" s="1" t="s">
        <v>10</v>
      </c>
      <c r="C13" s="1" t="s">
        <v>29</v>
      </c>
      <c r="D13" s="4" t="s">
        <v>6</v>
      </c>
      <c r="E13" s="1" t="s">
        <v>141</v>
      </c>
      <c r="F13" s="1"/>
      <c r="G13" s="1" t="s">
        <v>31</v>
      </c>
      <c r="H13" s="1"/>
      <c r="I13" s="1" t="s">
        <v>145</v>
      </c>
      <c r="J13" s="1" t="s">
        <v>189</v>
      </c>
      <c r="K13" s="1" t="s">
        <v>190</v>
      </c>
      <c r="L13" s="1" t="s">
        <v>191</v>
      </c>
      <c r="M13" s="1"/>
      <c r="N13" s="1"/>
      <c r="O13" s="1"/>
      <c r="P13" s="1"/>
      <c r="Q13" s="1">
        <v>2</v>
      </c>
      <c r="R13" s="1" t="s">
        <v>192</v>
      </c>
      <c r="S13" s="1" t="s">
        <v>131</v>
      </c>
      <c r="T13" s="1"/>
      <c r="U13" s="1"/>
      <c r="V13" s="1"/>
      <c r="W13" s="1"/>
    </row>
    <row r="14" spans="1:23" ht="37.5" x14ac:dyDescent="0.35">
      <c r="A14" s="1" t="s">
        <v>193</v>
      </c>
      <c r="B14" s="1" t="s">
        <v>10</v>
      </c>
      <c r="C14" s="1" t="s">
        <v>45</v>
      </c>
      <c r="D14" s="4" t="s">
        <v>6</v>
      </c>
      <c r="E14" s="1" t="s">
        <v>141</v>
      </c>
      <c r="F14" s="1" t="s">
        <v>142</v>
      </c>
      <c r="G14" s="1" t="s">
        <v>194</v>
      </c>
      <c r="H14" s="1" t="s">
        <v>195</v>
      </c>
      <c r="I14" s="1" t="s">
        <v>145</v>
      </c>
      <c r="J14" s="1" t="s">
        <v>196</v>
      </c>
      <c r="K14" s="1" t="s">
        <v>197</v>
      </c>
      <c r="L14" s="1" t="s">
        <v>198</v>
      </c>
      <c r="M14" s="1"/>
      <c r="N14" s="1"/>
      <c r="O14" s="1"/>
      <c r="P14" s="1"/>
      <c r="Q14" s="1">
        <v>1</v>
      </c>
      <c r="R14" s="1" t="s">
        <v>194</v>
      </c>
      <c r="S14" s="1" t="s">
        <v>131</v>
      </c>
      <c r="T14" s="1"/>
      <c r="U14" s="1"/>
      <c r="V14" s="1"/>
      <c r="W14" s="1"/>
    </row>
    <row r="15" spans="1:23" ht="25" x14ac:dyDescent="0.35">
      <c r="A15" s="1" t="s">
        <v>199</v>
      </c>
      <c r="B15" s="1" t="s">
        <v>48</v>
      </c>
      <c r="C15" s="1" t="s">
        <v>76</v>
      </c>
      <c r="D15" s="4" t="s">
        <v>6</v>
      </c>
      <c r="E15" s="1" t="s">
        <v>133</v>
      </c>
      <c r="F15" s="1"/>
      <c r="G15" s="1" t="s">
        <v>133</v>
      </c>
      <c r="H15" s="1" t="s">
        <v>200</v>
      </c>
      <c r="I15" s="1" t="s">
        <v>145</v>
      </c>
      <c r="J15" s="1" t="s">
        <v>201</v>
      </c>
      <c r="K15" s="1" t="s">
        <v>202</v>
      </c>
      <c r="L15" s="1" t="s">
        <v>203</v>
      </c>
      <c r="M15" s="1"/>
      <c r="N15" s="1"/>
      <c r="O15" s="1"/>
      <c r="P15" s="1"/>
      <c r="Q15" s="1">
        <v>1</v>
      </c>
      <c r="R15" s="1" t="s">
        <v>133</v>
      </c>
      <c r="S15" s="1" t="s">
        <v>131</v>
      </c>
      <c r="T15" s="1"/>
      <c r="U15" s="1"/>
      <c r="V15" s="1"/>
      <c r="W15" s="1"/>
    </row>
    <row r="16" spans="1:23" ht="25" x14ac:dyDescent="0.35">
      <c r="A16" s="1" t="s">
        <v>204</v>
      </c>
      <c r="B16" s="1" t="s">
        <v>48</v>
      </c>
      <c r="C16" s="1" t="s">
        <v>79</v>
      </c>
      <c r="D16" s="4" t="s">
        <v>6</v>
      </c>
      <c r="E16" s="1" t="s">
        <v>141</v>
      </c>
      <c r="F16" s="1"/>
      <c r="G16" s="1" t="s">
        <v>81</v>
      </c>
      <c r="H16" s="1"/>
      <c r="I16" s="1" t="s">
        <v>145</v>
      </c>
      <c r="J16" s="1" t="s">
        <v>205</v>
      </c>
      <c r="K16" s="1" t="s">
        <v>206</v>
      </c>
      <c r="L16" s="1" t="s">
        <v>207</v>
      </c>
      <c r="M16" s="1"/>
      <c r="N16" s="1"/>
      <c r="O16" s="1"/>
      <c r="P16" s="1"/>
      <c r="Q16" s="1">
        <v>2</v>
      </c>
      <c r="R16" s="1" t="s">
        <v>208</v>
      </c>
      <c r="S16" s="1" t="s">
        <v>131</v>
      </c>
      <c r="T16" s="1"/>
      <c r="U16" s="1"/>
      <c r="V16" s="1"/>
      <c r="W16" s="1"/>
    </row>
    <row r="17" spans="1:23" ht="37.5" x14ac:dyDescent="0.35">
      <c r="A17" s="1" t="s">
        <v>209</v>
      </c>
      <c r="B17" s="1" t="s">
        <v>48</v>
      </c>
      <c r="C17" s="1" t="s">
        <v>94</v>
      </c>
      <c r="D17" s="4" t="s">
        <v>6</v>
      </c>
      <c r="E17" s="1" t="s">
        <v>210</v>
      </c>
      <c r="F17" s="1"/>
      <c r="G17" s="1" t="s">
        <v>211</v>
      </c>
      <c r="H17" s="1"/>
      <c r="I17" s="1" t="s">
        <v>212</v>
      </c>
      <c r="J17" s="1" t="s">
        <v>213</v>
      </c>
      <c r="K17" s="1" t="s">
        <v>214</v>
      </c>
      <c r="L17" s="1" t="s">
        <v>215</v>
      </c>
      <c r="M17" s="1"/>
      <c r="N17" s="1"/>
      <c r="O17" s="1"/>
      <c r="P17" s="1"/>
      <c r="Q17" s="1">
        <v>6</v>
      </c>
      <c r="R17" s="1" t="s">
        <v>216</v>
      </c>
      <c r="S17" s="1" t="s">
        <v>217</v>
      </c>
      <c r="T17" s="1"/>
      <c r="U17" s="1"/>
      <c r="V17" s="1"/>
      <c r="W17" s="1"/>
    </row>
    <row r="18" spans="1:23" ht="37.5" x14ac:dyDescent="0.35">
      <c r="A18" s="1" t="s">
        <v>218</v>
      </c>
      <c r="B18" s="1" t="s">
        <v>48</v>
      </c>
      <c r="C18" s="1" t="s">
        <v>51</v>
      </c>
      <c r="D18" s="4" t="s">
        <v>6</v>
      </c>
      <c r="E18" s="1" t="s">
        <v>141</v>
      </c>
      <c r="F18" s="1" t="s">
        <v>142</v>
      </c>
      <c r="G18" s="1" t="s">
        <v>219</v>
      </c>
      <c r="H18" s="1" t="s">
        <v>220</v>
      </c>
      <c r="I18" s="1" t="s">
        <v>145</v>
      </c>
      <c r="J18" s="1" t="s">
        <v>221</v>
      </c>
      <c r="K18" s="1" t="s">
        <v>222</v>
      </c>
      <c r="L18" s="1" t="s">
        <v>223</v>
      </c>
      <c r="M18" s="1"/>
      <c r="N18" s="1"/>
      <c r="O18" s="1"/>
      <c r="P18" s="1"/>
      <c r="Q18" s="1">
        <v>1</v>
      </c>
      <c r="R18" s="1" t="s">
        <v>219</v>
      </c>
      <c r="S18" s="1" t="s">
        <v>131</v>
      </c>
      <c r="T18" s="1"/>
      <c r="U18" s="1"/>
      <c r="V18" s="1"/>
      <c r="W18" s="1"/>
    </row>
    <row r="19" spans="1:23" ht="25" x14ac:dyDescent="0.35">
      <c r="A19" s="1" t="s">
        <v>224</v>
      </c>
      <c r="B19" s="1" t="s">
        <v>48</v>
      </c>
      <c r="C19" s="1" t="s">
        <v>64</v>
      </c>
      <c r="D19" s="4" t="s">
        <v>6</v>
      </c>
      <c r="E19" s="1" t="s">
        <v>141</v>
      </c>
      <c r="F19" s="1" t="s">
        <v>142</v>
      </c>
      <c r="G19" s="1" t="s">
        <v>225</v>
      </c>
      <c r="H19" s="1" t="s">
        <v>226</v>
      </c>
      <c r="I19" s="1" t="s">
        <v>123</v>
      </c>
      <c r="J19" s="1" t="s">
        <v>227</v>
      </c>
      <c r="K19" s="1" t="s">
        <v>228</v>
      </c>
      <c r="L19" s="1" t="s">
        <v>229</v>
      </c>
      <c r="M19" s="1"/>
      <c r="N19" s="1"/>
      <c r="O19" s="1"/>
      <c r="P19" s="1"/>
      <c r="Q19" s="1">
        <v>1</v>
      </c>
      <c r="R19" s="1" t="s">
        <v>225</v>
      </c>
      <c r="S19" s="1" t="s">
        <v>131</v>
      </c>
      <c r="T19" s="1"/>
      <c r="U19" s="1"/>
      <c r="V19" s="1"/>
      <c r="W19" s="1"/>
    </row>
    <row r="20" spans="1:23" ht="37.5" x14ac:dyDescent="0.35">
      <c r="A20" s="1" t="s">
        <v>230</v>
      </c>
      <c r="B20" s="1" t="s">
        <v>10</v>
      </c>
      <c r="C20" s="1" t="s">
        <v>34</v>
      </c>
      <c r="D20" s="5" t="s">
        <v>7</v>
      </c>
      <c r="E20" s="1" t="s">
        <v>141</v>
      </c>
      <c r="F20" s="1" t="s">
        <v>142</v>
      </c>
      <c r="G20" s="1" t="s">
        <v>143</v>
      </c>
      <c r="H20" s="1" t="s">
        <v>144</v>
      </c>
      <c r="I20" s="1" t="s">
        <v>145</v>
      </c>
      <c r="J20" s="1" t="s">
        <v>231</v>
      </c>
      <c r="K20" s="1" t="s">
        <v>232</v>
      </c>
      <c r="L20" s="1" t="s">
        <v>233</v>
      </c>
      <c r="M20" s="1"/>
      <c r="N20" s="1"/>
      <c r="O20" s="1"/>
      <c r="P20" s="1"/>
      <c r="Q20" s="1">
        <v>1</v>
      </c>
      <c r="R20" s="1" t="s">
        <v>143</v>
      </c>
      <c r="S20" s="1" t="s">
        <v>131</v>
      </c>
      <c r="T20" s="1"/>
      <c r="U20" s="1"/>
      <c r="V20" s="1"/>
      <c r="W20" s="1"/>
    </row>
    <row r="21" spans="1:23" ht="25" x14ac:dyDescent="0.35">
      <c r="A21" s="1" t="s">
        <v>234</v>
      </c>
      <c r="B21" s="1" t="s">
        <v>48</v>
      </c>
      <c r="C21" s="1" t="s">
        <v>84</v>
      </c>
      <c r="D21" s="5" t="s">
        <v>7</v>
      </c>
      <c r="E21" s="1" t="s">
        <v>235</v>
      </c>
      <c r="F21" s="1"/>
      <c r="G21" s="1" t="s">
        <v>86</v>
      </c>
      <c r="H21" s="1"/>
      <c r="I21" s="1" t="s">
        <v>212</v>
      </c>
      <c r="J21" s="1" t="s">
        <v>236</v>
      </c>
      <c r="K21" s="1" t="s">
        <v>237</v>
      </c>
      <c r="L21" s="1" t="s">
        <v>238</v>
      </c>
      <c r="M21" s="1"/>
      <c r="N21" s="1"/>
      <c r="O21" s="1"/>
      <c r="P21" s="1"/>
      <c r="Q21" s="1">
        <v>5</v>
      </c>
      <c r="R21" s="1" t="s">
        <v>239</v>
      </c>
      <c r="S21" s="1" t="s">
        <v>131</v>
      </c>
      <c r="T21" s="1"/>
      <c r="U21" s="1"/>
      <c r="V21" s="1"/>
      <c r="W21" s="1"/>
    </row>
    <row r="22" spans="1:23" ht="25" x14ac:dyDescent="0.35">
      <c r="A22" s="1" t="s">
        <v>240</v>
      </c>
      <c r="B22" s="1" t="s">
        <v>48</v>
      </c>
      <c r="C22" s="1" t="s">
        <v>89</v>
      </c>
      <c r="D22" s="5" t="s">
        <v>7</v>
      </c>
      <c r="E22" s="1" t="s">
        <v>119</v>
      </c>
      <c r="F22" s="1" t="s">
        <v>120</v>
      </c>
      <c r="G22" s="1" t="s">
        <v>241</v>
      </c>
      <c r="H22" s="1" t="s">
        <v>242</v>
      </c>
      <c r="I22" s="1" t="s">
        <v>145</v>
      </c>
      <c r="J22" s="1" t="s">
        <v>243</v>
      </c>
      <c r="K22" s="1" t="s">
        <v>244</v>
      </c>
      <c r="L22" s="1" t="s">
        <v>245</v>
      </c>
      <c r="M22" s="1"/>
      <c r="N22" s="1"/>
      <c r="O22" s="1"/>
      <c r="P22" s="1"/>
      <c r="Q22" s="1">
        <v>1</v>
      </c>
      <c r="R22" s="1" t="s">
        <v>241</v>
      </c>
      <c r="S22" s="1" t="s">
        <v>131</v>
      </c>
      <c r="T22" s="1"/>
      <c r="U22" s="1"/>
      <c r="V22" s="1"/>
      <c r="W22" s="1"/>
    </row>
    <row r="23" spans="1:23" ht="37.5" x14ac:dyDescent="0.35">
      <c r="A23" s="1" t="s">
        <v>246</v>
      </c>
      <c r="B23" s="1" t="s">
        <v>48</v>
      </c>
      <c r="C23" s="1" t="s">
        <v>61</v>
      </c>
      <c r="D23" s="5" t="s">
        <v>7</v>
      </c>
      <c r="E23" s="1" t="s">
        <v>141</v>
      </c>
      <c r="F23" s="1" t="s">
        <v>142</v>
      </c>
      <c r="G23" s="1" t="s">
        <v>247</v>
      </c>
      <c r="H23" s="1" t="s">
        <v>248</v>
      </c>
      <c r="I23" s="1" t="s">
        <v>145</v>
      </c>
      <c r="J23" s="1" t="s">
        <v>249</v>
      </c>
      <c r="K23" s="1" t="s">
        <v>250</v>
      </c>
      <c r="L23" s="1" t="s">
        <v>251</v>
      </c>
      <c r="M23" s="1"/>
      <c r="N23" s="1"/>
      <c r="O23" s="1"/>
      <c r="P23" s="1"/>
      <c r="Q23" s="1">
        <v>1</v>
      </c>
      <c r="R23" s="1" t="s">
        <v>247</v>
      </c>
      <c r="S23" s="1" t="s">
        <v>131</v>
      </c>
      <c r="T23" s="1"/>
      <c r="U23" s="1"/>
      <c r="V23" s="1"/>
      <c r="W23" s="1"/>
    </row>
  </sheetData>
  <autoFilter ref="A3:W23" xr:uid="{00000000-0009-0000-0000-000001000000}"/>
  <mergeCells count="2">
    <mergeCell ref="A2:W2"/>
    <mergeCell ref="A1:W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showGridLines="0" workbookViewId="0">
      <pane ySplit="3" topLeftCell="A4" activePane="bottomLeft" state="frozen"/>
      <selection pane="bottomLeft"/>
    </sheetView>
  </sheetViews>
  <sheetFormatPr defaultRowHeight="14.5" x14ac:dyDescent="0.35"/>
  <cols>
    <col min="1" max="5" width="16" customWidth="1"/>
    <col min="6" max="6" width="90" customWidth="1"/>
  </cols>
  <sheetData>
    <row r="1" spans="1:6" ht="18" x14ac:dyDescent="0.35">
      <c r="A1" s="7" t="s">
        <v>252</v>
      </c>
      <c r="B1" s="7"/>
      <c r="C1" s="7"/>
      <c r="D1" s="7"/>
      <c r="E1" s="7"/>
      <c r="F1" s="7"/>
    </row>
    <row r="2" spans="1:6" ht="40" customHeight="1" x14ac:dyDescent="0.35">
      <c r="A2" s="6" t="s">
        <v>253</v>
      </c>
      <c r="B2" s="6"/>
      <c r="C2" s="6"/>
      <c r="D2" s="6"/>
      <c r="E2" s="6"/>
      <c r="F2" s="6"/>
    </row>
    <row r="3" spans="1:6" x14ac:dyDescent="0.35">
      <c r="A3" s="2" t="s">
        <v>4</v>
      </c>
      <c r="B3" s="2" t="s">
        <v>3</v>
      </c>
      <c r="C3" s="2" t="s">
        <v>254</v>
      </c>
      <c r="D3" s="2" t="s">
        <v>255</v>
      </c>
      <c r="E3" s="2" t="s">
        <v>256</v>
      </c>
      <c r="F3" s="2" t="s">
        <v>257</v>
      </c>
    </row>
    <row r="4" spans="1:6" x14ac:dyDescent="0.35">
      <c r="A4" s="1" t="s">
        <v>12</v>
      </c>
      <c r="B4" s="1" t="s">
        <v>11</v>
      </c>
      <c r="C4" s="1">
        <v>1</v>
      </c>
      <c r="D4" s="1">
        <v>1</v>
      </c>
      <c r="E4" s="1">
        <v>0</v>
      </c>
      <c r="F4" s="1"/>
    </row>
    <row r="5" spans="1:6" x14ac:dyDescent="0.35">
      <c r="A5" s="1" t="s">
        <v>16</v>
      </c>
      <c r="B5" s="1" t="s">
        <v>15</v>
      </c>
      <c r="C5" s="1">
        <v>1</v>
      </c>
      <c r="D5" s="1">
        <v>1</v>
      </c>
      <c r="E5" s="1">
        <v>0</v>
      </c>
      <c r="F5" s="1"/>
    </row>
    <row r="6" spans="1:6" x14ac:dyDescent="0.35">
      <c r="A6" s="1" t="s">
        <v>18</v>
      </c>
      <c r="B6" s="1" t="s">
        <v>17</v>
      </c>
      <c r="C6" s="1">
        <v>1</v>
      </c>
      <c r="D6" s="1">
        <v>1</v>
      </c>
      <c r="E6" s="1">
        <v>0</v>
      </c>
      <c r="F6" s="1"/>
    </row>
    <row r="7" spans="1:6" ht="25" x14ac:dyDescent="0.35">
      <c r="A7" s="1" t="s">
        <v>21</v>
      </c>
      <c r="B7" s="1" t="s">
        <v>20</v>
      </c>
      <c r="C7" s="1">
        <v>1</v>
      </c>
      <c r="D7" s="1">
        <v>1</v>
      </c>
      <c r="E7" s="1">
        <v>0</v>
      </c>
      <c r="F7" s="1"/>
    </row>
    <row r="8" spans="1:6" ht="25" x14ac:dyDescent="0.35">
      <c r="A8" s="1" t="s">
        <v>24</v>
      </c>
      <c r="B8" s="1" t="s">
        <v>23</v>
      </c>
      <c r="C8" s="1">
        <v>1</v>
      </c>
      <c r="D8" s="1">
        <v>1</v>
      </c>
      <c r="E8" s="1">
        <v>0</v>
      </c>
      <c r="F8" s="1"/>
    </row>
    <row r="9" spans="1:6" x14ac:dyDescent="0.35">
      <c r="A9" s="1" t="s">
        <v>27</v>
      </c>
      <c r="B9" s="1" t="s">
        <v>26</v>
      </c>
      <c r="C9" s="1">
        <v>1</v>
      </c>
      <c r="D9" s="1">
        <v>1</v>
      </c>
      <c r="E9" s="1">
        <v>0</v>
      </c>
      <c r="F9" s="1"/>
    </row>
    <row r="10" spans="1:6" x14ac:dyDescent="0.35">
      <c r="A10" s="1" t="s">
        <v>30</v>
      </c>
      <c r="B10" s="1" t="s">
        <v>29</v>
      </c>
      <c r="C10" s="1">
        <v>1</v>
      </c>
      <c r="D10" s="1">
        <v>1</v>
      </c>
      <c r="E10" s="1">
        <v>0</v>
      </c>
      <c r="F10" s="1"/>
    </row>
    <row r="11" spans="1:6" x14ac:dyDescent="0.35">
      <c r="A11" s="1" t="s">
        <v>33</v>
      </c>
      <c r="B11" s="1" t="s">
        <v>32</v>
      </c>
      <c r="C11" s="1">
        <v>1</v>
      </c>
      <c r="D11" s="1">
        <v>1</v>
      </c>
      <c r="E11" s="1">
        <v>0</v>
      </c>
      <c r="F11" s="1"/>
    </row>
    <row r="12" spans="1:6" x14ac:dyDescent="0.35">
      <c r="A12" s="1" t="s">
        <v>35</v>
      </c>
      <c r="B12" s="1" t="s">
        <v>34</v>
      </c>
      <c r="C12" s="1">
        <v>1</v>
      </c>
      <c r="D12" s="1">
        <v>1</v>
      </c>
      <c r="E12" s="1">
        <v>0</v>
      </c>
      <c r="F12" s="1"/>
    </row>
    <row r="13" spans="1:6" x14ac:dyDescent="0.35">
      <c r="A13" s="1" t="s">
        <v>37</v>
      </c>
      <c r="B13" s="1" t="s">
        <v>36</v>
      </c>
      <c r="C13" s="1">
        <v>1</v>
      </c>
      <c r="D13" s="1">
        <v>1</v>
      </c>
      <c r="E13" s="1">
        <v>0</v>
      </c>
      <c r="F13" s="1"/>
    </row>
    <row r="14" spans="1:6" x14ac:dyDescent="0.35">
      <c r="A14" s="1" t="s">
        <v>39</v>
      </c>
      <c r="B14" s="1" t="s">
        <v>38</v>
      </c>
      <c r="C14" s="1">
        <v>1</v>
      </c>
      <c r="D14" s="1">
        <v>1</v>
      </c>
      <c r="E14" s="1">
        <v>0</v>
      </c>
      <c r="F14" s="1"/>
    </row>
    <row r="15" spans="1:6" x14ac:dyDescent="0.35">
      <c r="A15" s="1" t="s">
        <v>41</v>
      </c>
      <c r="B15" s="1" t="s">
        <v>40</v>
      </c>
      <c r="C15" s="1">
        <v>1</v>
      </c>
      <c r="D15" s="1">
        <v>1</v>
      </c>
      <c r="E15" s="1">
        <v>0</v>
      </c>
      <c r="F15" s="1"/>
    </row>
    <row r="16" spans="1:6" ht="25" x14ac:dyDescent="0.35">
      <c r="A16" s="1" t="s">
        <v>43</v>
      </c>
      <c r="B16" s="1" t="s">
        <v>42</v>
      </c>
      <c r="C16" s="1">
        <v>1</v>
      </c>
      <c r="D16" s="1">
        <v>1</v>
      </c>
      <c r="E16" s="1">
        <v>0</v>
      </c>
      <c r="F16" s="1"/>
    </row>
    <row r="17" spans="1:6" x14ac:dyDescent="0.35">
      <c r="A17" s="1" t="s">
        <v>46</v>
      </c>
      <c r="B17" s="1" t="s">
        <v>45</v>
      </c>
      <c r="C17" s="1">
        <v>1</v>
      </c>
      <c r="D17" s="1">
        <v>1</v>
      </c>
      <c r="E17" s="1">
        <v>0</v>
      </c>
      <c r="F17" s="1"/>
    </row>
    <row r="18" spans="1:6" x14ac:dyDescent="0.35">
      <c r="A18" s="1" t="s">
        <v>50</v>
      </c>
      <c r="B18" s="1" t="s">
        <v>49</v>
      </c>
      <c r="C18" s="1">
        <v>1</v>
      </c>
      <c r="D18" s="1">
        <v>1</v>
      </c>
      <c r="E18" s="1">
        <v>0</v>
      </c>
      <c r="F18" s="1"/>
    </row>
    <row r="19" spans="1:6" ht="25" x14ac:dyDescent="0.35">
      <c r="A19" s="1" t="s">
        <v>52</v>
      </c>
      <c r="B19" s="1" t="s">
        <v>51</v>
      </c>
      <c r="C19" s="1">
        <v>1</v>
      </c>
      <c r="D19" s="1">
        <v>1</v>
      </c>
      <c r="E19" s="1">
        <v>0</v>
      </c>
      <c r="F19" s="1"/>
    </row>
    <row r="20" spans="1:6" x14ac:dyDescent="0.35">
      <c r="A20" s="1" t="s">
        <v>55</v>
      </c>
      <c r="B20" s="1" t="s">
        <v>54</v>
      </c>
      <c r="C20" s="1">
        <v>1</v>
      </c>
      <c r="D20" s="1">
        <v>1</v>
      </c>
      <c r="E20" s="1">
        <v>0</v>
      </c>
      <c r="F20" s="1"/>
    </row>
    <row r="21" spans="1:6" x14ac:dyDescent="0.35">
      <c r="A21" s="1" t="s">
        <v>57</v>
      </c>
      <c r="B21" s="1" t="s">
        <v>56</v>
      </c>
      <c r="C21" s="1">
        <v>1</v>
      </c>
      <c r="D21" s="1">
        <v>1</v>
      </c>
      <c r="E21" s="1">
        <v>0</v>
      </c>
      <c r="F21" s="1"/>
    </row>
    <row r="22" spans="1:6" x14ac:dyDescent="0.35">
      <c r="A22" s="1" t="s">
        <v>60</v>
      </c>
      <c r="B22" s="1" t="s">
        <v>59</v>
      </c>
      <c r="C22" s="1">
        <v>1</v>
      </c>
      <c r="D22" s="1">
        <v>1</v>
      </c>
      <c r="E22" s="1">
        <v>0</v>
      </c>
      <c r="F22" s="1"/>
    </row>
    <row r="23" spans="1:6" ht="25" x14ac:dyDescent="0.35">
      <c r="A23" s="1" t="s">
        <v>62</v>
      </c>
      <c r="B23" s="1" t="s">
        <v>61</v>
      </c>
      <c r="C23" s="1">
        <v>1</v>
      </c>
      <c r="D23" s="1">
        <v>1</v>
      </c>
      <c r="E23" s="1">
        <v>0</v>
      </c>
      <c r="F23" s="1"/>
    </row>
    <row r="24" spans="1:6" x14ac:dyDescent="0.35">
      <c r="A24" s="1" t="s">
        <v>65</v>
      </c>
      <c r="B24" s="1" t="s">
        <v>64</v>
      </c>
      <c r="C24" s="1">
        <v>1</v>
      </c>
      <c r="D24" s="1">
        <v>1</v>
      </c>
      <c r="E24" s="1">
        <v>0</v>
      </c>
      <c r="F24" s="1"/>
    </row>
    <row r="25" spans="1:6" ht="25" x14ac:dyDescent="0.35">
      <c r="A25" s="1" t="s">
        <v>68</v>
      </c>
      <c r="B25" s="1" t="s">
        <v>67</v>
      </c>
      <c r="C25" s="1">
        <v>1</v>
      </c>
      <c r="D25" s="1">
        <v>1</v>
      </c>
      <c r="E25" s="1">
        <v>0</v>
      </c>
      <c r="F25" s="1"/>
    </row>
    <row r="26" spans="1:6" ht="25" x14ac:dyDescent="0.35">
      <c r="A26" s="1" t="s">
        <v>70</v>
      </c>
      <c r="B26" s="1" t="s">
        <v>69</v>
      </c>
      <c r="C26" s="1">
        <v>1</v>
      </c>
      <c r="D26" s="1">
        <v>1</v>
      </c>
      <c r="E26" s="1">
        <v>0</v>
      </c>
      <c r="F26" s="1"/>
    </row>
    <row r="27" spans="1:6" x14ac:dyDescent="0.35">
      <c r="A27" s="1" t="s">
        <v>73</v>
      </c>
      <c r="B27" s="1" t="s">
        <v>72</v>
      </c>
      <c r="C27" s="1">
        <v>1</v>
      </c>
      <c r="D27" s="1">
        <v>1</v>
      </c>
      <c r="E27" s="1">
        <v>0</v>
      </c>
      <c r="F27" s="1"/>
    </row>
    <row r="28" spans="1:6" ht="25" x14ac:dyDescent="0.35">
      <c r="A28" s="1" t="s">
        <v>75</v>
      </c>
      <c r="B28" s="1" t="s">
        <v>74</v>
      </c>
      <c r="C28" s="1">
        <v>1</v>
      </c>
      <c r="D28" s="1">
        <v>1</v>
      </c>
      <c r="E28" s="1">
        <v>0</v>
      </c>
      <c r="F28" s="1"/>
    </row>
    <row r="29" spans="1:6" ht="25" x14ac:dyDescent="0.35">
      <c r="A29" s="1" t="s">
        <v>77</v>
      </c>
      <c r="B29" s="1" t="s">
        <v>76</v>
      </c>
      <c r="C29" s="1">
        <v>1</v>
      </c>
      <c r="D29" s="1">
        <v>1</v>
      </c>
      <c r="E29" s="1">
        <v>0</v>
      </c>
      <c r="F29" s="1"/>
    </row>
    <row r="30" spans="1:6" x14ac:dyDescent="0.35">
      <c r="A30" s="1" t="s">
        <v>80</v>
      </c>
      <c r="B30" s="1" t="s">
        <v>79</v>
      </c>
      <c r="C30" s="1">
        <v>1</v>
      </c>
      <c r="D30" s="1">
        <v>1</v>
      </c>
      <c r="E30" s="1">
        <v>0</v>
      </c>
      <c r="F30" s="1"/>
    </row>
    <row r="31" spans="1:6" x14ac:dyDescent="0.35">
      <c r="A31" s="1" t="s">
        <v>83</v>
      </c>
      <c r="B31" s="1" t="s">
        <v>82</v>
      </c>
      <c r="C31" s="1">
        <v>1</v>
      </c>
      <c r="D31" s="1">
        <v>1</v>
      </c>
      <c r="E31" s="1">
        <v>0</v>
      </c>
      <c r="F31" s="1"/>
    </row>
    <row r="32" spans="1:6" x14ac:dyDescent="0.35">
      <c r="A32" s="1" t="s">
        <v>85</v>
      </c>
      <c r="B32" s="1" t="s">
        <v>84</v>
      </c>
      <c r="C32" s="1">
        <v>1</v>
      </c>
      <c r="D32" s="1">
        <v>1</v>
      </c>
      <c r="E32" s="1">
        <v>0</v>
      </c>
      <c r="F32" s="1"/>
    </row>
    <row r="33" spans="1:6" x14ac:dyDescent="0.35">
      <c r="A33" s="1" t="s">
        <v>88</v>
      </c>
      <c r="B33" s="1" t="s">
        <v>87</v>
      </c>
      <c r="C33" s="1">
        <v>1</v>
      </c>
      <c r="D33" s="1">
        <v>1</v>
      </c>
      <c r="E33" s="1">
        <v>0</v>
      </c>
      <c r="F33" s="1"/>
    </row>
    <row r="34" spans="1:6" x14ac:dyDescent="0.35">
      <c r="A34" s="1" t="s">
        <v>90</v>
      </c>
      <c r="B34" s="1" t="s">
        <v>89</v>
      </c>
      <c r="C34" s="1">
        <v>1</v>
      </c>
      <c r="D34" s="1">
        <v>1</v>
      </c>
      <c r="E34" s="1">
        <v>0</v>
      </c>
      <c r="F34" s="1"/>
    </row>
    <row r="35" spans="1:6" ht="25" x14ac:dyDescent="0.35">
      <c r="A35" s="1" t="s">
        <v>93</v>
      </c>
      <c r="B35" s="1" t="s">
        <v>92</v>
      </c>
      <c r="C35" s="1">
        <v>1</v>
      </c>
      <c r="D35" s="1">
        <v>1</v>
      </c>
      <c r="E35" s="1">
        <v>0</v>
      </c>
      <c r="F35" s="1"/>
    </row>
    <row r="36" spans="1:6" ht="25" x14ac:dyDescent="0.35">
      <c r="A36" s="1" t="s">
        <v>95</v>
      </c>
      <c r="B36" s="1" t="s">
        <v>94</v>
      </c>
      <c r="C36" s="1">
        <v>1</v>
      </c>
      <c r="D36" s="1">
        <v>1</v>
      </c>
      <c r="E36" s="1">
        <v>0</v>
      </c>
      <c r="F36" s="1"/>
    </row>
    <row r="37" spans="1:6" x14ac:dyDescent="0.35">
      <c r="A37" s="1" t="s">
        <v>258</v>
      </c>
      <c r="B37" s="1" t="s">
        <v>259</v>
      </c>
      <c r="C37" s="1"/>
      <c r="D37" s="1"/>
      <c r="E37" s="1"/>
      <c r="F37" s="1" t="s">
        <v>260</v>
      </c>
    </row>
  </sheetData>
  <autoFilter ref="A3:F37" xr:uid="{00000000-0009-0000-0000-000002000000}"/>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workbookViewId="0">
      <pane ySplit="3" topLeftCell="A4" activePane="bottomLeft" state="frozen"/>
      <selection pane="bottomLeft"/>
    </sheetView>
  </sheetViews>
  <sheetFormatPr defaultRowHeight="14.5" x14ac:dyDescent="0.35"/>
  <cols>
    <col min="1" max="1" width="16" customWidth="1"/>
    <col min="2" max="2" width="45" customWidth="1"/>
    <col min="3" max="6" width="16" customWidth="1"/>
    <col min="7" max="7" width="50" customWidth="1"/>
    <col min="8" max="8" width="70" customWidth="1"/>
    <col min="9" max="9" width="40" customWidth="1"/>
  </cols>
  <sheetData>
    <row r="1" spans="1:9" ht="18" x14ac:dyDescent="0.35">
      <c r="A1" s="7" t="s">
        <v>261</v>
      </c>
      <c r="B1" s="7"/>
      <c r="C1" s="7"/>
      <c r="D1" s="7"/>
      <c r="E1" s="7"/>
      <c r="F1" s="7"/>
      <c r="G1" s="7"/>
      <c r="H1" s="7"/>
      <c r="I1" s="7"/>
    </row>
    <row r="2" spans="1:9" ht="40" customHeight="1" x14ac:dyDescent="0.35">
      <c r="A2" s="6" t="s">
        <v>262</v>
      </c>
      <c r="B2" s="6"/>
      <c r="C2" s="6"/>
      <c r="D2" s="6"/>
      <c r="E2" s="6"/>
      <c r="F2" s="6"/>
      <c r="G2" s="6"/>
      <c r="H2" s="6"/>
      <c r="I2" s="6"/>
    </row>
    <row r="3" spans="1:9" x14ac:dyDescent="0.35">
      <c r="A3" s="2" t="s">
        <v>263</v>
      </c>
      <c r="B3" s="2" t="s">
        <v>264</v>
      </c>
      <c r="C3" s="2" t="s">
        <v>265</v>
      </c>
      <c r="D3" s="2" t="s">
        <v>266</v>
      </c>
      <c r="E3" s="2" t="s">
        <v>267</v>
      </c>
      <c r="F3" s="2" t="s">
        <v>268</v>
      </c>
      <c r="G3" s="2" t="s">
        <v>269</v>
      </c>
      <c r="H3" s="2" t="s">
        <v>270</v>
      </c>
      <c r="I3" s="2" t="s">
        <v>271</v>
      </c>
    </row>
    <row r="4" spans="1:9" ht="25" x14ac:dyDescent="0.35">
      <c r="A4" s="1" t="s">
        <v>272</v>
      </c>
      <c r="B4" s="1" t="s">
        <v>273</v>
      </c>
      <c r="C4" s="1" t="s">
        <v>6</v>
      </c>
      <c r="D4" s="1" t="s">
        <v>274</v>
      </c>
      <c r="E4" s="1">
        <v>2</v>
      </c>
      <c r="F4" s="1">
        <v>3</v>
      </c>
      <c r="G4" s="1" t="s">
        <v>275</v>
      </c>
      <c r="H4" s="1" t="s">
        <v>276</v>
      </c>
      <c r="I4" s="1" t="s">
        <v>277</v>
      </c>
    </row>
    <row r="5" spans="1:9" ht="37.5" x14ac:dyDescent="0.35">
      <c r="A5" s="1" t="s">
        <v>272</v>
      </c>
      <c r="B5" s="1" t="s">
        <v>278</v>
      </c>
      <c r="C5" s="1" t="s">
        <v>5</v>
      </c>
      <c r="D5" s="1" t="s">
        <v>279</v>
      </c>
      <c r="E5" s="1">
        <v>0</v>
      </c>
      <c r="F5" s="1">
        <v>3</v>
      </c>
      <c r="G5" s="1"/>
      <c r="H5" s="1" t="s">
        <v>280</v>
      </c>
      <c r="I5" s="1" t="s">
        <v>281</v>
      </c>
    </row>
    <row r="6" spans="1:9" ht="50" x14ac:dyDescent="0.35">
      <c r="A6" s="1" t="s">
        <v>272</v>
      </c>
      <c r="B6" s="1" t="s">
        <v>282</v>
      </c>
      <c r="C6" s="1" t="s">
        <v>6</v>
      </c>
      <c r="D6" s="1" t="s">
        <v>283</v>
      </c>
      <c r="E6" s="1">
        <v>0</v>
      </c>
      <c r="F6" s="1">
        <v>0</v>
      </c>
      <c r="G6" s="1"/>
      <c r="H6" s="1" t="s">
        <v>284</v>
      </c>
      <c r="I6" s="1" t="s">
        <v>285</v>
      </c>
    </row>
    <row r="7" spans="1:9" ht="62.5" x14ac:dyDescent="0.35">
      <c r="A7" s="1" t="s">
        <v>272</v>
      </c>
      <c r="B7" s="1" t="s">
        <v>286</v>
      </c>
      <c r="C7" s="1" t="s">
        <v>5</v>
      </c>
      <c r="D7" s="1" t="s">
        <v>274</v>
      </c>
      <c r="E7" s="1">
        <v>2</v>
      </c>
      <c r="F7" s="1">
        <v>3</v>
      </c>
      <c r="G7" s="1" t="s">
        <v>275</v>
      </c>
      <c r="H7" s="1" t="s">
        <v>287</v>
      </c>
      <c r="I7" s="1" t="s">
        <v>288</v>
      </c>
    </row>
    <row r="8" spans="1:9" ht="37.5" x14ac:dyDescent="0.35">
      <c r="A8" s="1" t="s">
        <v>272</v>
      </c>
      <c r="B8" s="1" t="s">
        <v>289</v>
      </c>
      <c r="C8" s="1" t="s">
        <v>6</v>
      </c>
      <c r="D8" s="1" t="s">
        <v>279</v>
      </c>
      <c r="E8" s="1">
        <v>0</v>
      </c>
      <c r="F8" s="1">
        <v>3</v>
      </c>
      <c r="G8" s="1"/>
      <c r="H8" s="1" t="s">
        <v>290</v>
      </c>
      <c r="I8" s="1" t="s">
        <v>291</v>
      </c>
    </row>
    <row r="9" spans="1:9" ht="37.5" x14ac:dyDescent="0.35">
      <c r="A9" s="1" t="s">
        <v>292</v>
      </c>
      <c r="B9" s="1" t="s">
        <v>293</v>
      </c>
      <c r="C9" s="1" t="s">
        <v>6</v>
      </c>
      <c r="D9" s="1" t="s">
        <v>283</v>
      </c>
      <c r="E9" s="1">
        <v>0</v>
      </c>
      <c r="F9" s="1">
        <v>0</v>
      </c>
      <c r="G9" s="1"/>
      <c r="H9" s="1" t="s">
        <v>294</v>
      </c>
      <c r="I9" s="1" t="s">
        <v>295</v>
      </c>
    </row>
    <row r="10" spans="1:9" ht="37.5" x14ac:dyDescent="0.35">
      <c r="A10" s="1" t="s">
        <v>292</v>
      </c>
      <c r="B10" s="1" t="s">
        <v>296</v>
      </c>
      <c r="C10" s="1" t="s">
        <v>6</v>
      </c>
      <c r="D10" s="1" t="s">
        <v>274</v>
      </c>
      <c r="E10" s="1">
        <v>2</v>
      </c>
      <c r="F10" s="1">
        <v>3</v>
      </c>
      <c r="G10" s="1" t="s">
        <v>275</v>
      </c>
      <c r="H10" s="1" t="s">
        <v>297</v>
      </c>
      <c r="I10" s="1" t="s">
        <v>298</v>
      </c>
    </row>
    <row r="11" spans="1:9" ht="37.5" x14ac:dyDescent="0.35">
      <c r="A11" s="1" t="s">
        <v>292</v>
      </c>
      <c r="B11" s="1" t="s">
        <v>299</v>
      </c>
      <c r="C11" s="1" t="s">
        <v>6</v>
      </c>
      <c r="D11" s="1" t="s">
        <v>279</v>
      </c>
      <c r="E11" s="1">
        <v>0</v>
      </c>
      <c r="F11" s="1">
        <v>3</v>
      </c>
      <c r="G11" s="1"/>
      <c r="H11" s="1" t="s">
        <v>300</v>
      </c>
      <c r="I11" s="1" t="s">
        <v>301</v>
      </c>
    </row>
    <row r="12" spans="1:9" ht="37.5" x14ac:dyDescent="0.35">
      <c r="A12" s="1" t="s">
        <v>302</v>
      </c>
      <c r="B12" s="1" t="s">
        <v>303</v>
      </c>
      <c r="C12" s="1" t="s">
        <v>7</v>
      </c>
      <c r="D12" s="1" t="s">
        <v>283</v>
      </c>
      <c r="E12" s="1">
        <v>0</v>
      </c>
      <c r="F12" s="1">
        <v>0</v>
      </c>
      <c r="G12" s="1"/>
      <c r="H12" s="1" t="s">
        <v>304</v>
      </c>
      <c r="I12" s="1" t="s">
        <v>305</v>
      </c>
    </row>
    <row r="13" spans="1:9" ht="62.5" x14ac:dyDescent="0.35">
      <c r="A13" s="1" t="s">
        <v>302</v>
      </c>
      <c r="B13" s="1" t="s">
        <v>306</v>
      </c>
      <c r="C13" s="1" t="s">
        <v>6</v>
      </c>
      <c r="D13" s="1" t="s">
        <v>274</v>
      </c>
      <c r="E13" s="1">
        <v>2</v>
      </c>
      <c r="F13" s="1">
        <v>3</v>
      </c>
      <c r="G13" s="1" t="s">
        <v>275</v>
      </c>
      <c r="H13" s="1" t="s">
        <v>307</v>
      </c>
      <c r="I13" s="1" t="s">
        <v>308</v>
      </c>
    </row>
    <row r="14" spans="1:9" ht="62.5" x14ac:dyDescent="0.35">
      <c r="A14" s="1" t="s">
        <v>302</v>
      </c>
      <c r="B14" s="1" t="s">
        <v>309</v>
      </c>
      <c r="C14" s="1" t="s">
        <v>6</v>
      </c>
      <c r="D14" s="1" t="s">
        <v>279</v>
      </c>
      <c r="E14" s="1">
        <v>0</v>
      </c>
      <c r="F14" s="1">
        <v>3</v>
      </c>
      <c r="G14" s="1"/>
      <c r="H14" s="1" t="s">
        <v>310</v>
      </c>
      <c r="I14" s="1" t="s">
        <v>308</v>
      </c>
    </row>
    <row r="15" spans="1:9" ht="25" x14ac:dyDescent="0.35">
      <c r="A15" s="1" t="s">
        <v>302</v>
      </c>
      <c r="B15" s="1" t="s">
        <v>311</v>
      </c>
      <c r="C15" s="1" t="s">
        <v>5</v>
      </c>
      <c r="D15" s="1" t="s">
        <v>283</v>
      </c>
      <c r="E15" s="1">
        <v>0</v>
      </c>
      <c r="F15" s="1">
        <v>0</v>
      </c>
      <c r="G15" s="1"/>
      <c r="H15" s="1" t="s">
        <v>312</v>
      </c>
      <c r="I15" s="1" t="s">
        <v>313</v>
      </c>
    </row>
    <row r="16" spans="1:9" ht="37.5" x14ac:dyDescent="0.35">
      <c r="A16" s="1" t="s">
        <v>302</v>
      </c>
      <c r="B16" s="1" t="s">
        <v>314</v>
      </c>
      <c r="C16" s="1" t="s">
        <v>6</v>
      </c>
      <c r="D16" s="1" t="s">
        <v>274</v>
      </c>
      <c r="E16" s="1">
        <v>2</v>
      </c>
      <c r="F16" s="1">
        <v>3</v>
      </c>
      <c r="G16" s="1" t="s">
        <v>275</v>
      </c>
      <c r="H16" s="1" t="s">
        <v>315</v>
      </c>
      <c r="I16" s="1" t="s">
        <v>316</v>
      </c>
    </row>
    <row r="17" spans="1:9" ht="37.5" x14ac:dyDescent="0.35">
      <c r="A17" s="1" t="s">
        <v>302</v>
      </c>
      <c r="B17" s="1" t="s">
        <v>317</v>
      </c>
      <c r="C17" s="1" t="s">
        <v>5</v>
      </c>
      <c r="D17" s="1" t="s">
        <v>279</v>
      </c>
      <c r="E17" s="1">
        <v>0</v>
      </c>
      <c r="F17" s="1">
        <v>3</v>
      </c>
      <c r="G17" s="1"/>
      <c r="H17" s="1" t="s">
        <v>318</v>
      </c>
      <c r="I17" s="1" t="s">
        <v>316</v>
      </c>
    </row>
    <row r="18" spans="1:9" ht="25" x14ac:dyDescent="0.35">
      <c r="A18" s="1" t="s">
        <v>302</v>
      </c>
      <c r="B18" s="1" t="s">
        <v>319</v>
      </c>
      <c r="C18" s="1" t="s">
        <v>6</v>
      </c>
      <c r="D18" s="1" t="s">
        <v>283</v>
      </c>
      <c r="E18" s="1">
        <v>0</v>
      </c>
      <c r="F18" s="1">
        <v>0</v>
      </c>
      <c r="G18" s="1"/>
      <c r="H18" s="1" t="s">
        <v>320</v>
      </c>
      <c r="I18" s="1" t="s">
        <v>321</v>
      </c>
    </row>
    <row r="19" spans="1:9" ht="37.5" x14ac:dyDescent="0.35">
      <c r="A19" s="1" t="s">
        <v>302</v>
      </c>
      <c r="B19" s="1" t="s">
        <v>322</v>
      </c>
      <c r="C19" s="1" t="s">
        <v>6</v>
      </c>
      <c r="D19" s="1" t="s">
        <v>274</v>
      </c>
      <c r="E19" s="1">
        <v>2</v>
      </c>
      <c r="F19" s="1">
        <v>3</v>
      </c>
      <c r="G19" s="1" t="s">
        <v>275</v>
      </c>
      <c r="H19" s="1" t="s">
        <v>323</v>
      </c>
      <c r="I19" s="1" t="s">
        <v>324</v>
      </c>
    </row>
  </sheetData>
  <autoFilter ref="A3:I19" xr:uid="{00000000-0009-0000-0000-000003000000}"/>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showGridLines="0" workbookViewId="0">
      <pane ySplit="3" topLeftCell="A4" activePane="bottomLeft" state="frozen"/>
      <selection pane="bottomLeft"/>
    </sheetView>
  </sheetViews>
  <sheetFormatPr defaultRowHeight="14.5" x14ac:dyDescent="0.35"/>
  <cols>
    <col min="1" max="4" width="16" customWidth="1"/>
    <col min="5" max="5" width="30" customWidth="1"/>
    <col min="6" max="6" width="80" customWidth="1"/>
    <col min="7" max="7" width="16" customWidth="1"/>
  </cols>
  <sheetData>
    <row r="1" spans="1:7" ht="18" x14ac:dyDescent="0.35">
      <c r="A1" s="7" t="s">
        <v>325</v>
      </c>
      <c r="B1" s="7"/>
      <c r="C1" s="7"/>
      <c r="D1" s="7"/>
      <c r="E1" s="7"/>
      <c r="F1" s="7"/>
      <c r="G1" s="7"/>
    </row>
    <row r="2" spans="1:7" ht="40" customHeight="1" x14ac:dyDescent="0.35">
      <c r="A2" s="6" t="s">
        <v>326</v>
      </c>
      <c r="B2" s="6"/>
      <c r="C2" s="6"/>
      <c r="D2" s="6"/>
      <c r="E2" s="6"/>
      <c r="F2" s="6"/>
      <c r="G2" s="6"/>
    </row>
    <row r="3" spans="1:7" x14ac:dyDescent="0.35">
      <c r="A3" s="2" t="s">
        <v>4</v>
      </c>
      <c r="B3" s="2" t="s">
        <v>3</v>
      </c>
      <c r="C3" s="2" t="s">
        <v>327</v>
      </c>
      <c r="D3" s="2" t="s">
        <v>100</v>
      </c>
      <c r="E3" s="2" t="s">
        <v>102</v>
      </c>
      <c r="F3" s="2" t="s">
        <v>328</v>
      </c>
      <c r="G3" s="2" t="s">
        <v>329</v>
      </c>
    </row>
    <row r="4" spans="1:7" x14ac:dyDescent="0.35">
      <c r="A4" s="1" t="s">
        <v>330</v>
      </c>
      <c r="B4" s="1" t="s">
        <v>15</v>
      </c>
      <c r="C4" s="1" t="s">
        <v>6</v>
      </c>
      <c r="D4" s="1" t="s">
        <v>141</v>
      </c>
      <c r="E4" s="1" t="s">
        <v>331</v>
      </c>
      <c r="F4" s="1" t="s">
        <v>332</v>
      </c>
      <c r="G4" s="1" t="s">
        <v>333</v>
      </c>
    </row>
  </sheetData>
  <autoFilter ref="A3:G4" xr:uid="{00000000-0009-0000-0000-000004000000}"/>
  <mergeCells count="2">
    <mergeCell ref="A2:G2"/>
    <mergeCell ref="A1:G1"/>
  </mergeCell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概览</vt:lpstr>
      <vt:lpstr>问题清单</vt:lpstr>
      <vt:lpstr>检查覆盖</vt:lpstr>
      <vt:lpstr>Landing Zone 对照</vt:lpstr>
      <vt:lpstr>上月问题处理情况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Zhou</cp:lastModifiedBy>
  <dcterms:created xsi:type="dcterms:W3CDTF">2026-10-27T11:08:23Z</dcterms:created>
  <dcterms:modified xsi:type="dcterms:W3CDTF">2026-10-27T11:08:29Z</dcterms:modified>
</cp:coreProperties>
</file>