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5yxkm8zf\2026-09\reports\"/>
    </mc:Choice>
  </mc:AlternateContent>
  <xr:revisionPtr revIDLastSave="0" documentId="13_ncr:1_{9722442A-3029-4AA0-A9CC-E13006E31BB7}" xr6:coauthVersionLast="47" xr6:coauthVersionMax="47" xr10:uidLastSave="{00000000-0000-0000-0000-000000000000}"/>
  <bookViews>
    <workbookView xWindow="2280" yWindow="2280" windowWidth="16920" windowHeight="10450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VM建议指标价格总表!$A$4:$AA$16</definedName>
    <definedName name="_xlnm._FilterDatabase" localSheetId="3" hidden="1">价格计算依据!$A$3:$Q$15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每日指标原始值!$A$3:$H$465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V13" i="5"/>
  <c r="D15" i="4"/>
  <c r="U16" i="5" s="1"/>
  <c r="K14" i="4"/>
  <c r="I14" i="4"/>
  <c r="G14" i="4"/>
  <c r="E14" i="4"/>
  <c r="C14" i="4"/>
  <c r="K13" i="4"/>
  <c r="I13" i="4"/>
  <c r="G13" i="4"/>
  <c r="E13" i="4"/>
  <c r="C13" i="4"/>
  <c r="K12" i="4"/>
  <c r="I12" i="4"/>
  <c r="G12" i="4"/>
  <c r="F12" i="4"/>
  <c r="E12" i="4"/>
  <c r="N12" i="4" s="1"/>
  <c r="C12" i="4"/>
  <c r="M12" i="4" s="1"/>
  <c r="K11" i="4"/>
  <c r="I11" i="4"/>
  <c r="G11" i="4"/>
  <c r="E11" i="4"/>
  <c r="C11" i="4"/>
  <c r="K10" i="4"/>
  <c r="I10" i="4"/>
  <c r="G10" i="4"/>
  <c r="E10" i="4"/>
  <c r="C10" i="4"/>
  <c r="K9" i="4"/>
  <c r="I9" i="4"/>
  <c r="G9" i="4"/>
  <c r="E9" i="4"/>
  <c r="C9" i="4"/>
  <c r="K8" i="4"/>
  <c r="I8" i="4"/>
  <c r="G8" i="4"/>
  <c r="E8" i="4"/>
  <c r="C8" i="4"/>
  <c r="K7" i="4"/>
  <c r="I7" i="4"/>
  <c r="G7" i="4"/>
  <c r="E7" i="4"/>
  <c r="C7" i="4"/>
  <c r="K6" i="4"/>
  <c r="I6" i="4"/>
  <c r="P6" i="4" s="1"/>
  <c r="G6" i="4"/>
  <c r="O6" i="4" s="1"/>
  <c r="E6" i="4"/>
  <c r="N6" i="4" s="1"/>
  <c r="C6" i="4"/>
  <c r="M6" i="4" s="1"/>
  <c r="K5" i="4"/>
  <c r="I5" i="4"/>
  <c r="G5" i="4"/>
  <c r="E5" i="4"/>
  <c r="C5" i="4"/>
  <c r="K4" i="4"/>
  <c r="I4" i="4"/>
  <c r="G4" i="4"/>
  <c r="E4" i="4"/>
  <c r="C4" i="4"/>
  <c r="E4" i="2"/>
  <c r="C4" i="2"/>
  <c r="B4" i="2"/>
  <c r="N14" i="4" l="1"/>
  <c r="V15" i="5"/>
  <c r="F14" i="4"/>
  <c r="L14" i="4"/>
  <c r="Y15" i="5" s="1"/>
  <c r="Q14" i="4"/>
  <c r="J14" i="4"/>
  <c r="X15" i="5" s="1"/>
  <c r="P14" i="4"/>
  <c r="O14" i="4"/>
  <c r="H14" i="4"/>
  <c r="W15" i="5" s="1"/>
  <c r="D14" i="4"/>
  <c r="M14" i="4"/>
  <c r="Q13" i="4"/>
  <c r="L13" i="4"/>
  <c r="Y14" i="5" s="1"/>
  <c r="P13" i="4"/>
  <c r="J13" i="4"/>
  <c r="X14" i="5" s="1"/>
  <c r="O13" i="4"/>
  <c r="H13" i="4"/>
  <c r="W14" i="5" s="1"/>
  <c r="N13" i="4"/>
  <c r="F13" i="4"/>
  <c r="V14" i="5" s="1"/>
  <c r="M13" i="4"/>
  <c r="D13" i="4"/>
  <c r="U14" i="5" s="1"/>
  <c r="L12" i="4"/>
  <c r="Y13" i="5" s="1"/>
  <c r="Q12" i="4"/>
  <c r="J12" i="4"/>
  <c r="X13" i="5" s="1"/>
  <c r="P12" i="4"/>
  <c r="H12" i="4"/>
  <c r="W13" i="5" s="1"/>
  <c r="O12" i="4"/>
  <c r="D12" i="4"/>
  <c r="U13" i="5" s="1"/>
  <c r="L11" i="4"/>
  <c r="Y12" i="5" s="1"/>
  <c r="Q11" i="4"/>
  <c r="J11" i="4"/>
  <c r="X12" i="5" s="1"/>
  <c r="P11" i="4"/>
  <c r="H11" i="4"/>
  <c r="W12" i="5" s="1"/>
  <c r="O11" i="4"/>
  <c r="N11" i="4"/>
  <c r="F11" i="4"/>
  <c r="V12" i="5" s="1"/>
  <c r="D11" i="4"/>
  <c r="U12" i="5" s="1"/>
  <c r="M11" i="4"/>
  <c r="Q10" i="4"/>
  <c r="L10" i="4"/>
  <c r="Y11" i="5" s="1"/>
  <c r="P10" i="4"/>
  <c r="J10" i="4"/>
  <c r="X11" i="5" s="1"/>
  <c r="O10" i="4"/>
  <c r="H10" i="4"/>
  <c r="W11" i="5" s="1"/>
  <c r="F10" i="4"/>
  <c r="V11" i="5" s="1"/>
  <c r="N10" i="4"/>
  <c r="D10" i="4"/>
  <c r="U11" i="5" s="1"/>
  <c r="M10" i="4"/>
  <c r="L9" i="4"/>
  <c r="Y10" i="5" s="1"/>
  <c r="Q9" i="4"/>
  <c r="J9" i="4"/>
  <c r="X10" i="5" s="1"/>
  <c r="P9" i="4"/>
  <c r="W10" i="5"/>
  <c r="O9" i="4"/>
  <c r="H9" i="4"/>
  <c r="N9" i="4"/>
  <c r="F9" i="4"/>
  <c r="V10" i="5"/>
  <c r="D9" i="4"/>
  <c r="M9" i="4"/>
  <c r="U10" i="5"/>
  <c r="Q8" i="4"/>
  <c r="L8" i="4"/>
  <c r="Y9" i="5" s="1"/>
  <c r="P8" i="4"/>
  <c r="J8" i="4"/>
  <c r="X9" i="5" s="1"/>
  <c r="O8" i="4"/>
  <c r="H8" i="4"/>
  <c r="W9" i="5" s="1"/>
  <c r="F8" i="4"/>
  <c r="V9" i="5" s="1"/>
  <c r="N8" i="4"/>
  <c r="D8" i="4"/>
  <c r="U9" i="5"/>
  <c r="M8" i="4"/>
  <c r="Q7" i="4"/>
  <c r="L7" i="4"/>
  <c r="Y8" i="5"/>
  <c r="P7" i="4"/>
  <c r="J7" i="4"/>
  <c r="X8" i="5" s="1"/>
  <c r="O7" i="4"/>
  <c r="H7" i="4"/>
  <c r="W8" i="5"/>
  <c r="F7" i="4"/>
  <c r="N7" i="4"/>
  <c r="V8" i="5"/>
  <c r="M7" i="4"/>
  <c r="D7" i="4"/>
  <c r="U8" i="5" s="1"/>
  <c r="L6" i="4"/>
  <c r="Y7" i="5" s="1"/>
  <c r="Q6" i="4"/>
  <c r="J6" i="4"/>
  <c r="X7" i="5" s="1"/>
  <c r="H6" i="4"/>
  <c r="W7" i="5" s="1"/>
  <c r="F6" i="4"/>
  <c r="V7" i="5" s="1"/>
  <c r="D6" i="4"/>
  <c r="Q5" i="4"/>
  <c r="L5" i="4"/>
  <c r="Y6" i="5" s="1"/>
  <c r="X6" i="5"/>
  <c r="P5" i="4"/>
  <c r="J5" i="4"/>
  <c r="O5" i="4"/>
  <c r="H5" i="4"/>
  <c r="W6" i="5" s="1"/>
  <c r="F5" i="4"/>
  <c r="V6" i="5" s="1"/>
  <c r="N5" i="4"/>
  <c r="M5" i="4"/>
  <c r="D5" i="4"/>
  <c r="U6" i="5" s="1"/>
  <c r="Q4" i="4"/>
  <c r="L4" i="4"/>
  <c r="Y5" i="5" s="1"/>
  <c r="P4" i="4"/>
  <c r="J4" i="4"/>
  <c r="X5" i="5" s="1"/>
  <c r="O4" i="4"/>
  <c r="H4" i="4"/>
  <c r="W5" i="5" s="1"/>
  <c r="N4" i="4"/>
  <c r="F4" i="4"/>
  <c r="V5" i="5" s="1"/>
  <c r="M4" i="4"/>
  <c r="D4" i="4"/>
  <c r="U5" i="5" s="1"/>
  <c r="D4" i="2"/>
  <c r="G9" i="6" l="1"/>
  <c r="U15" i="5"/>
  <c r="B12" i="1"/>
  <c r="B13" i="1" s="1"/>
  <c r="G4" i="6"/>
  <c r="G8" i="6"/>
  <c r="B9" i="2"/>
  <c r="B8" i="2"/>
  <c r="B7" i="2"/>
  <c r="B6" i="2"/>
  <c r="B5" i="2"/>
  <c r="G6" i="6"/>
  <c r="U7" i="5"/>
  <c r="C9" i="2" l="1"/>
  <c r="E9" i="2" s="1"/>
  <c r="D9" i="2"/>
  <c r="C8" i="2"/>
  <c r="E8" i="2" s="1"/>
  <c r="D8" i="2"/>
  <c r="C7" i="2"/>
  <c r="E7" i="2" s="1"/>
  <c r="D7" i="2"/>
  <c r="C6" i="2"/>
  <c r="E6" i="2" s="1"/>
  <c r="D6" i="2"/>
  <c r="C5" i="2"/>
  <c r="E5" i="2" s="1"/>
  <c r="D5" i="2"/>
</calcChain>
</file>

<file path=xl/sharedStrings.xml><?xml version="1.0" encoding="utf-8"?>
<sst xmlns="http://schemas.openxmlformats.org/spreadsheetml/2006/main" count="3118" uniqueCount="239">
  <si>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</si>
  <si>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</si>
  <si>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</si>
  <si>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</si>
  <si>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</si>
  <si>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</si>
  <si>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</si>
  <si>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</si>
  <si>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</si>
  <si>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</si>
  <si>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</si>
  <si>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</si>
  <si>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</si>
  <si>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</si>
  <si>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</si>
  <si>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</si>
  <si>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</si>
  <si>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</si>
  <si>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</si>
  <si>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</si>
  <si>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</si>
  <si>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</si>
  <si>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</si>
  <si>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</si>
  <si>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</si>
  <si>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</si>
  <si>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</si>
  <si>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</si>
  <si>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</si>
  <si>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</si>
  <si>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</si>
  <si>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</si>
  <si>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</si>
  <si>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</si>
  <si>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</si>
  <si>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</si>
  <si>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</si>
  <si>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</si>
  <si>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</si>
  <si>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</si>
  <si>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</si>
  <si>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</si>
  <si>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</si>
  <si>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</si>
  <si>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</si>
  <si>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</si>
  <si>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</si>
  <si>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</si>
  <si>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</si>
  <si>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</si>
  <si>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</si>
  <si>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</si>
  <si>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</si>
  <si>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</si>
  <si>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</si>
  <si>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</si>
  <si>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</si>
  <si>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</si>
  <si>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</si>
  <si>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</si>
  <si>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</si>
  <si>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</si>
  <si>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</si>
  <si>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订阅</t>
  </si>
  <si>
    <t>每月预计节省USD</t>
  </si>
  <si>
    <t>shop-prod</t>
  </si>
  <si>
    <t>data-prod</t>
  </si>
  <si>
    <t>shop-test</t>
  </si>
  <si>
    <t>各类建议结果的 VM 台数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</si>
  <si>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</si>
  <si>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</si>
  <si>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</si>
  <si>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</si>
  <si>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</si>
  <si>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</si>
  <si>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</si>
  <si>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</si>
  <si>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</si>
  <si>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</si>
  <si>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</si>
  <si>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</si>
  <si>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</si>
  <si>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</si>
  <si>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</si>
  <si>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</si>
  <si>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</si>
  <si>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</si>
  <si>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</si>
  <si>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</si>
  <si>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</si>
  <si>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</si>
  <si>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</si>
  <si>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</si>
  <si>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</si>
  <si>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</si>
  <si>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</si>
  <si>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</si>
  <si>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</si>
  <si>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</si>
  <si>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</si>
  <si>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</si>
  <si>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</si>
  <si>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</si>
  <si>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</si>
  <si>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</si>
  <si>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</si>
  <si>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</si>
  <si>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</si>
  <si>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</si>
  <si>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</si>
  <si>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</si>
  <si>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</si>
  <si>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</si>
  <si>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</si>
  <si>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</si>
  <si>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</si>
  <si>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</si>
  <si>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</si>
  <si>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</si>
  <si>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</si>
  <si>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</si>
  <si>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</si>
  <si>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</si>
  <si>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</si>
  <si>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</si>
  <si>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</si>
  <si>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</si>
  <si>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</si>
  <si>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</si>
  <si>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</si>
  <si>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</si>
  <si>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</si>
  <si>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</si>
  <si>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</si>
  <si>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</si>
  <si>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</si>
  <si>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</si>
  <si>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</si>
  <si>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</si>
  <si>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</si>
  <si>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</si>
  <si>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</si>
  <si>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</si>
  <si>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</si>
  <si>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</si>
  <si>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</si>
  <si>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</si>
  <si>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</si>
  <si>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</si>
  <si>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</si>
  <si>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</si>
  <si>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</si>
  <si>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</si>
  <si>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</si>
  <si>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</si>
  <si>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</si>
  <si>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</si>
  <si>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</si>
  <si>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</si>
  <si>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</si>
  <si>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</si>
  <si>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</si>
  <si>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</si>
  <si>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CPU核数减半，内存容量不变；平均用量和VM磁盘性能满足要求，列表价更低；9月该机器 100% 的费用由 RI/SP 覆盖：降配不会直接减少预付费用，需先交换预留或调整覆盖范围，节省在此之后才能实现</t>
  </si>
  <si>
    <t>shop-web-02</t>
  </si>
  <si>
    <t>shop-web-03</t>
  </si>
  <si>
    <t>CPU核数减半，内存容量不变；平均用量和VM磁盘性能满足要求，列表价更低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</si>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</sst>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6C4-4621-B345-9C2E5DBE8B8B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6C4-4621-B345-9C2E5DBE8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09D-4669-AAE7-BA22EB458689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D09D-4669-AAE7-BA22EB458689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D09D-4669-AAE7-BA22EB458689}"/>
              </c:ext>
            </c:extLst>
          </c:dPt>
          <c:cat>
            <c:strRef>
              <c:f>图表!$A$14:$A$16</c:f>
              <c:strCache>
                <c:ptCount val="3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</c:strCache>
            </c:strRef>
          </c:cat>
          <c:val>
            <c:numRef>
              <c:f>图表!$B$14:$B$16</c:f>
              <c:numCache>
                <c:formatCode>#,##0.00;\(#,##0.00\);"-"</c:formatCode>
                <c:ptCount val="3"/>
                <c:pt idx="0">
                  <c:v>7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09D-4669-AAE7-BA22EB458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图表!$B$18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图表!$A$19:$A$21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图表!$B$19:$B$21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B2F-40EE-8519-AEAA40DD12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图表!$B$23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242-417B-94EA-387008282385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F242-417B-94EA-387008282385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F242-417B-94EA-387008282385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F242-417B-94EA-387008282385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F242-417B-94EA-387008282385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F242-417B-94EA-387008282385}"/>
              </c:ext>
            </c:extLst>
          </c:dPt>
          <c:cat>
            <c:strRef>
              <c:f>图表!$A$24:$A$29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图表!$B$24:$B$29</c:f>
              <c:numCache>
                <c:formatCode>#,##0.00;\(#,##0.00\);"-"</c:formatCode>
                <c:ptCount val="6"/>
                <c:pt idx="0">
                  <c:v>2750.2750000000001</c:v>
                </c:pt>
                <c:pt idx="1">
                  <c:v>1989.761</c:v>
                </c:pt>
                <c:pt idx="2">
                  <c:v>1353.0550000000001</c:v>
                </c:pt>
                <c:pt idx="3">
                  <c:v>1193.8558333333331</c:v>
                </c:pt>
                <c:pt idx="4">
                  <c:v>955.05899999999997</c:v>
                </c:pt>
                <c:pt idx="5">
                  <c:v>795.9041666666667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F242-417B-94EA-387008282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12</v>
      </c>
      <c r="C7" s="2" t="s">
        <v>13</v>
      </c>
    </row>
    <row r="8" spans="1:3" ht="42" customHeight="1" x14ac:dyDescent="0.35">
      <c r="A8" s="4" t="s">
        <v>14</v>
      </c>
      <c r="B8" s="5">
        <v>11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SUM(价格计算依据!D4:D15)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SUM(价格计算依据!B4:B15)</f>
        <v>2750.2749999999996</v>
      </c>
      <c r="C4" s="9">
        <f>0</f>
        <v>0</v>
      </c>
      <c r="D4" s="9">
        <f t="shared" ref="D4:D9" si="0">B4*12</f>
        <v>33003.299999999996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SUM(价格计算依据!M4:M15)</f>
        <v>1989.7610000000002</v>
      </c>
      <c r="C5" s="8">
        <f>$B$4-B5</f>
        <v>760.51399999999944</v>
      </c>
      <c r="D5" s="8">
        <f t="shared" si="0"/>
        <v>23877.132000000001</v>
      </c>
      <c r="E5" s="8">
        <f>C5*12</f>
        <v>9126.1679999999942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SUM(价格计算依据!N4:N15)</f>
        <v>1193.8558333333333</v>
      </c>
      <c r="C6" s="9">
        <f>$B$4-B6</f>
        <v>1556.4191666666663</v>
      </c>
      <c r="D6" s="9">
        <f t="shared" si="0"/>
        <v>14326.27</v>
      </c>
      <c r="E6" s="9">
        <f>C6*12</f>
        <v>18677.029999999995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SUM(价格计算依据!O4:O15)</f>
        <v>795.90416666666681</v>
      </c>
      <c r="C7" s="8">
        <f>$B$4-B7</f>
        <v>1954.3708333333329</v>
      </c>
      <c r="D7" s="8">
        <f t="shared" si="0"/>
        <v>9550.8500000000022</v>
      </c>
      <c r="E7" s="8">
        <f>C7*12</f>
        <v>23452.449999999997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SUM(价格计算依据!P4:P15)</f>
        <v>1353.0549999999998</v>
      </c>
      <c r="C8" s="9">
        <f>$B$4-B8</f>
        <v>1397.2199999999998</v>
      </c>
      <c r="D8" s="9">
        <f t="shared" si="0"/>
        <v>16236.659999999998</v>
      </c>
      <c r="E8" s="9">
        <f>C8*12</f>
        <v>16766.64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SUM(价格计算依据!Q4:Q15)</f>
        <v>955.05900000000008</v>
      </c>
      <c r="C9" s="8">
        <f>$B$4-B9</f>
        <v>1795.2159999999994</v>
      </c>
      <c r="D9" s="8">
        <f t="shared" si="0"/>
        <v>11460.708000000001</v>
      </c>
      <c r="E9" s="8">
        <f>C9*12</f>
        <v>21542.591999999993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5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0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4" t="s">
        <v>63</v>
      </c>
      <c r="B18" s="4" t="s">
        <v>64</v>
      </c>
      <c r="C18" s="4"/>
      <c r="D18" s="4"/>
      <c r="E18" s="4"/>
      <c r="F18" s="4"/>
    </row>
    <row r="19" spans="1:6" x14ac:dyDescent="0.35">
      <c r="A19" s="2" t="s">
        <v>65</v>
      </c>
      <c r="B19" s="6">
        <v>486.10700000000003</v>
      </c>
      <c r="C19" s="2"/>
      <c r="D19" s="2"/>
      <c r="E19" s="2"/>
      <c r="F19" s="2"/>
    </row>
    <row r="20" spans="1:6" x14ac:dyDescent="0.35">
      <c r="A20" s="4" t="s">
        <v>66</v>
      </c>
      <c r="B20" s="5">
        <v>183.96</v>
      </c>
      <c r="C20" s="4"/>
      <c r="D20" s="4"/>
      <c r="E20" s="4"/>
      <c r="F20" s="4"/>
    </row>
    <row r="21" spans="1:6" x14ac:dyDescent="0.35">
      <c r="A21" s="2" t="s">
        <v>67</v>
      </c>
      <c r="B21" s="6">
        <v>90.447000000000003</v>
      </c>
      <c r="C21" s="2"/>
      <c r="D21" s="2"/>
      <c r="E21" s="2"/>
      <c r="F21" s="2" t="s">
        <v>68</v>
      </c>
    </row>
    <row r="22" spans="1:6" x14ac:dyDescent="0.35">
      <c r="A22" s="4"/>
      <c r="B22" s="4"/>
      <c r="C22" s="4"/>
      <c r="D22" s="4"/>
      <c r="E22" s="4"/>
      <c r="F22" s="4"/>
    </row>
    <row r="23" spans="1:6" x14ac:dyDescent="0.35">
      <c r="A23" s="2" t="s">
        <v>31</v>
      </c>
      <c r="B23" s="2" t="s">
        <v>69</v>
      </c>
      <c r="C23" s="2"/>
      <c r="D23" s="2"/>
      <c r="E23" s="2"/>
      <c r="F23" s="2"/>
    </row>
    <row r="24" spans="1:6" x14ac:dyDescent="0.35">
      <c r="A24" s="4" t="s">
        <v>70</v>
      </c>
      <c r="B24" s="5">
        <v>2750.2750000000001</v>
      </c>
      <c r="C24" s="4"/>
      <c r="D24" s="4"/>
      <c r="E24" s="4"/>
      <c r="F24" s="4"/>
    </row>
    <row r="25" spans="1:6" x14ac:dyDescent="0.35">
      <c r="A25" s="2" t="s">
        <v>71</v>
      </c>
      <c r="B25" s="6">
        <v>1989.761</v>
      </c>
      <c r="C25" s="2"/>
      <c r="D25" s="2"/>
      <c r="E25" s="2"/>
      <c r="F25" s="2"/>
    </row>
    <row r="26" spans="1:6" x14ac:dyDescent="0.35">
      <c r="A26" s="4" t="s">
        <v>72</v>
      </c>
      <c r="B26" s="5">
        <v>1353.0550000000001</v>
      </c>
      <c r="C26" s="4"/>
      <c r="D26" s="4"/>
      <c r="E26" s="4"/>
      <c r="F26" s="4"/>
    </row>
    <row r="27" spans="1:6" x14ac:dyDescent="0.35">
      <c r="A27" s="2" t="s">
        <v>73</v>
      </c>
      <c r="B27" s="6">
        <v>1193.8558333333331</v>
      </c>
      <c r="C27" s="2"/>
      <c r="D27" s="2"/>
      <c r="E27" s="2"/>
      <c r="F27" s="2"/>
    </row>
    <row r="28" spans="1:6" x14ac:dyDescent="0.35">
      <c r="A28" s="4" t="s">
        <v>74</v>
      </c>
      <c r="B28" s="5">
        <v>955.05899999999997</v>
      </c>
      <c r="C28" s="4"/>
      <c r="D28" s="4"/>
      <c r="E28" s="4"/>
      <c r="F28" s="4"/>
    </row>
    <row r="29" spans="1:6" x14ac:dyDescent="0.35">
      <c r="A29" s="2" t="s">
        <v>75</v>
      </c>
      <c r="B29" s="6">
        <v>795.9041666666667</v>
      </c>
      <c r="C29" s="2"/>
      <c r="D29" s="2"/>
      <c r="E29" s="2"/>
      <c r="F29" s="2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76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77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3" t="s">
        <v>92</v>
      </c>
      <c r="O3" s="3" t="s">
        <v>93</v>
      </c>
      <c r="P3" s="3" t="s">
        <v>94</v>
      </c>
      <c r="Q3" s="3" t="s">
        <v>95</v>
      </c>
    </row>
    <row r="4" spans="1:17" ht="62.5" x14ac:dyDescent="0.35">
      <c r="A4" s="4" t="s">
        <v>96</v>
      </c>
      <c r="B4" s="5">
        <v>367.92</v>
      </c>
      <c r="C4" s="9">
        <f>0.252*730</f>
        <v>183.96</v>
      </c>
      <c r="D4" s="9">
        <f t="shared" ref="D4:D15" si="0">B4-C4</f>
        <v>183.96</v>
      </c>
      <c r="E4" s="9">
        <f>1324.51/12</f>
        <v>110.37583333333333</v>
      </c>
      <c r="F4" s="9">
        <f t="shared" ref="F4:F14" si="1">B4-E4</f>
        <v>257.54416666666668</v>
      </c>
      <c r="G4" s="9">
        <f>2649.02/36</f>
        <v>73.583888888888893</v>
      </c>
      <c r="H4" s="9">
        <f t="shared" ref="H4:H14" si="2">B4-G4</f>
        <v>294.33611111111111</v>
      </c>
      <c r="I4" s="9">
        <f>0.1714*730</f>
        <v>125.122</v>
      </c>
      <c r="J4" s="9">
        <f t="shared" ref="J4:J14" si="3">B4-I4</f>
        <v>242.798</v>
      </c>
      <c r="K4" s="9">
        <f>0.121*730</f>
        <v>88.33</v>
      </c>
      <c r="L4" s="9">
        <f t="shared" ref="L4:L14" si="4">B4-K4</f>
        <v>279.59000000000003</v>
      </c>
      <c r="M4" s="9">
        <f t="shared" ref="M4:M14" si="5">IF(ISNUMBER(C4),C4,C4)</f>
        <v>183.96</v>
      </c>
      <c r="N4" s="9">
        <f t="shared" ref="N4:N14" si="6">IF(ISNUMBER(E4),E4,C4)</f>
        <v>110.37583333333333</v>
      </c>
      <c r="O4" s="9">
        <f t="shared" ref="O4:O14" si="7">IF(ISNUMBER(G4),G4,C4)</f>
        <v>73.583888888888893</v>
      </c>
      <c r="P4" s="9">
        <f t="shared" ref="P4:P14" si="8">IF(ISNUMBER(I4),I4,C4)</f>
        <v>125.122</v>
      </c>
      <c r="Q4" s="9">
        <f t="shared" ref="Q4:Q14" si="9">IF(ISNUMBER(K4),K4,C4)</f>
        <v>88.33</v>
      </c>
    </row>
    <row r="5" spans="1:17" ht="62.5" x14ac:dyDescent="0.35">
      <c r="A5" s="2" t="s">
        <v>97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98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99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62.5" x14ac:dyDescent="0.35">
      <c r="A8" s="4" t="s">
        <v>100</v>
      </c>
      <c r="B8" s="5">
        <v>361.642</v>
      </c>
      <c r="C8" s="9">
        <f>0.4954*730</f>
        <v>361.642</v>
      </c>
      <c r="D8" s="9">
        <f t="shared" si="0"/>
        <v>0</v>
      </c>
      <c r="E8" s="9">
        <f>2603.82/12</f>
        <v>216.98500000000001</v>
      </c>
      <c r="F8" s="9">
        <f t="shared" si="1"/>
        <v>144.65699999999998</v>
      </c>
      <c r="G8" s="9">
        <f>5207.64/36</f>
        <v>144.65666666666667</v>
      </c>
      <c r="H8" s="9">
        <f t="shared" si="2"/>
        <v>216.98533333333333</v>
      </c>
      <c r="I8" s="9">
        <f>0.3369*730</f>
        <v>245.93699999999998</v>
      </c>
      <c r="J8" s="9">
        <f t="shared" si="3"/>
        <v>115.70500000000001</v>
      </c>
      <c r="K8" s="9">
        <f>0.2378*730</f>
        <v>173.59399999999999</v>
      </c>
      <c r="L8" s="9">
        <f t="shared" si="4"/>
        <v>188.048</v>
      </c>
      <c r="M8" s="9">
        <f t="shared" si="5"/>
        <v>361.642</v>
      </c>
      <c r="N8" s="9">
        <f t="shared" si="6"/>
        <v>216.98500000000001</v>
      </c>
      <c r="O8" s="9">
        <f t="shared" si="7"/>
        <v>144.65666666666667</v>
      </c>
      <c r="P8" s="9">
        <f t="shared" si="8"/>
        <v>245.93699999999998</v>
      </c>
      <c r="Q8" s="9">
        <f t="shared" si="9"/>
        <v>173.59399999999999</v>
      </c>
    </row>
    <row r="9" spans="1:17" ht="62.5" x14ac:dyDescent="0.35">
      <c r="A9" s="2" t="s">
        <v>101</v>
      </c>
      <c r="B9" s="6">
        <v>474.64600000000002</v>
      </c>
      <c r="C9" s="8">
        <f>0.3251*730</f>
        <v>237.32300000000001</v>
      </c>
      <c r="D9" s="8">
        <f t="shared" si="0"/>
        <v>237.32300000000001</v>
      </c>
      <c r="E9" s="8">
        <f>1708.73/12</f>
        <v>142.39416666666668</v>
      </c>
      <c r="F9" s="8">
        <f t="shared" si="1"/>
        <v>332.25183333333337</v>
      </c>
      <c r="G9" s="8">
        <f>3417.45/36</f>
        <v>94.92916666666666</v>
      </c>
      <c r="H9" s="8">
        <f t="shared" si="2"/>
        <v>379.71683333333334</v>
      </c>
      <c r="I9" s="8">
        <f>0.2211*730</f>
        <v>161.40299999999999</v>
      </c>
      <c r="J9" s="8">
        <f t="shared" si="3"/>
        <v>313.24300000000005</v>
      </c>
      <c r="K9" s="8">
        <f>0.156*730</f>
        <v>113.88</v>
      </c>
      <c r="L9" s="8">
        <f t="shared" si="4"/>
        <v>360.76600000000002</v>
      </c>
      <c r="M9" s="8">
        <f t="shared" si="5"/>
        <v>237.32300000000001</v>
      </c>
      <c r="N9" s="8">
        <f t="shared" si="6"/>
        <v>142.39416666666668</v>
      </c>
      <c r="O9" s="8">
        <f t="shared" si="7"/>
        <v>94.92916666666666</v>
      </c>
      <c r="P9" s="8">
        <f t="shared" si="8"/>
        <v>161.40299999999999</v>
      </c>
      <c r="Q9" s="8">
        <f t="shared" si="9"/>
        <v>113.88</v>
      </c>
    </row>
    <row r="10" spans="1:17" ht="62.5" x14ac:dyDescent="0.35">
      <c r="A10" s="4" t="s">
        <v>102</v>
      </c>
      <c r="B10" s="5">
        <v>180.821</v>
      </c>
      <c r="C10" s="9">
        <f>0.1625*730</f>
        <v>118.625</v>
      </c>
      <c r="D10" s="9">
        <f t="shared" si="0"/>
        <v>62.195999999999998</v>
      </c>
      <c r="E10" s="9">
        <f>854.1/12</f>
        <v>71.174999999999997</v>
      </c>
      <c r="F10" s="9">
        <f t="shared" si="1"/>
        <v>109.646</v>
      </c>
      <c r="G10" s="9">
        <f>1708.2/36</f>
        <v>47.45</v>
      </c>
      <c r="H10" s="9">
        <f t="shared" si="2"/>
        <v>133.37099999999998</v>
      </c>
      <c r="I10" s="9">
        <f>0.1105*730</f>
        <v>80.665000000000006</v>
      </c>
      <c r="J10" s="9">
        <f t="shared" si="3"/>
        <v>100.15599999999999</v>
      </c>
      <c r="K10" s="9">
        <f>0.078*730</f>
        <v>56.94</v>
      </c>
      <c r="L10" s="9">
        <f t="shared" si="4"/>
        <v>123.881</v>
      </c>
      <c r="M10" s="9">
        <f t="shared" si="5"/>
        <v>118.625</v>
      </c>
      <c r="N10" s="9">
        <f t="shared" si="6"/>
        <v>71.174999999999997</v>
      </c>
      <c r="O10" s="9">
        <f t="shared" si="7"/>
        <v>47.45</v>
      </c>
      <c r="P10" s="9">
        <f t="shared" si="8"/>
        <v>80.665000000000006</v>
      </c>
      <c r="Q10" s="9">
        <f t="shared" si="9"/>
        <v>56.94</v>
      </c>
    </row>
    <row r="11" spans="1:17" ht="62.5" x14ac:dyDescent="0.35">
      <c r="A11" s="2" t="s">
        <v>103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104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105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75" x14ac:dyDescent="0.35">
      <c r="A14" s="4" t="s">
        <v>106</v>
      </c>
      <c r="B14" s="5">
        <v>180.821</v>
      </c>
      <c r="C14" s="9">
        <f>0.1238*730</f>
        <v>90.373999999999995</v>
      </c>
      <c r="D14" s="9">
        <f t="shared" si="0"/>
        <v>90.447000000000003</v>
      </c>
      <c r="E14" s="9">
        <f>650.69/12</f>
        <v>54.224166666666669</v>
      </c>
      <c r="F14" s="9">
        <f t="shared" si="1"/>
        <v>126.59683333333334</v>
      </c>
      <c r="G14" s="9">
        <f>1301.39/36</f>
        <v>36.149722222222223</v>
      </c>
      <c r="H14" s="9">
        <f t="shared" si="2"/>
        <v>144.67127777777779</v>
      </c>
      <c r="I14" s="9">
        <f>0.0842*730</f>
        <v>61.466000000000001</v>
      </c>
      <c r="J14" s="9">
        <f t="shared" si="3"/>
        <v>119.35499999999999</v>
      </c>
      <c r="K14" s="9">
        <f>0.0594*730</f>
        <v>43.362000000000002</v>
      </c>
      <c r="L14" s="9">
        <f t="shared" si="4"/>
        <v>137.459</v>
      </c>
      <c r="M14" s="9">
        <f t="shared" si="5"/>
        <v>90.373999999999995</v>
      </c>
      <c r="N14" s="9">
        <f t="shared" si="6"/>
        <v>54.224166666666669</v>
      </c>
      <c r="O14" s="9">
        <f t="shared" si="7"/>
        <v>36.149722222222223</v>
      </c>
      <c r="P14" s="9">
        <f t="shared" si="8"/>
        <v>61.466000000000001</v>
      </c>
      <c r="Q14" s="9">
        <f t="shared" si="9"/>
        <v>43.362000000000002</v>
      </c>
    </row>
    <row r="15" spans="1:17" ht="75" x14ac:dyDescent="0.35">
      <c r="A15" s="2" t="s">
        <v>107</v>
      </c>
      <c r="B15" s="6">
        <v>0</v>
      </c>
      <c r="C15" s="6">
        <v>0</v>
      </c>
      <c r="D15" s="8">
        <f t="shared" si="0"/>
        <v>0</v>
      </c>
      <c r="E15" s="2" t="s">
        <v>108</v>
      </c>
      <c r="F15" s="2"/>
      <c r="G15" s="2" t="s">
        <v>108</v>
      </c>
      <c r="H15" s="2"/>
      <c r="I15" s="2" t="s">
        <v>108</v>
      </c>
      <c r="J15" s="2"/>
      <c r="K15" s="2" t="s">
        <v>108</v>
      </c>
      <c r="L15" s="2"/>
      <c r="M15" s="6">
        <v>0</v>
      </c>
      <c r="N15" s="6">
        <v>0</v>
      </c>
      <c r="O15" s="6">
        <v>0</v>
      </c>
      <c r="P15" s="6">
        <v>0</v>
      </c>
      <c r="Q15" s="6">
        <v>0</v>
      </c>
    </row>
  </sheetData>
  <autoFilter ref="A3:Q15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6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111</v>
      </c>
      <c r="B3" s="16"/>
      <c r="C3" s="16"/>
      <c r="D3" s="16"/>
      <c r="E3" s="16"/>
      <c r="F3" s="16"/>
      <c r="G3" s="16"/>
      <c r="H3" s="16"/>
      <c r="I3" s="18" t="s">
        <v>112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113</v>
      </c>
      <c r="V3" s="17"/>
      <c r="W3" s="17"/>
      <c r="X3" s="17"/>
      <c r="Y3" s="17"/>
      <c r="Z3" s="19" t="s">
        <v>114</v>
      </c>
      <c r="AA3" s="19"/>
    </row>
    <row r="4" spans="1:27" ht="70" customHeight="1" x14ac:dyDescent="0.35">
      <c r="A4" s="3" t="s">
        <v>63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11" t="s">
        <v>122</v>
      </c>
      <c r="J4" s="11" t="s">
        <v>123</v>
      </c>
      <c r="K4" s="11" t="s">
        <v>124</v>
      </c>
      <c r="L4" s="11" t="s">
        <v>125</v>
      </c>
      <c r="M4" s="11" t="s">
        <v>126</v>
      </c>
      <c r="N4" s="11" t="s">
        <v>127</v>
      </c>
      <c r="O4" s="11" t="s">
        <v>128</v>
      </c>
      <c r="P4" s="11" t="s">
        <v>129</v>
      </c>
      <c r="Q4" s="11" t="s">
        <v>130</v>
      </c>
      <c r="R4" s="11" t="s">
        <v>131</v>
      </c>
      <c r="S4" s="11" t="s">
        <v>132</v>
      </c>
      <c r="T4" s="11" t="s">
        <v>133</v>
      </c>
      <c r="U4" s="12" t="s">
        <v>134</v>
      </c>
      <c r="V4" s="12" t="s">
        <v>135</v>
      </c>
      <c r="W4" s="12" t="s">
        <v>136</v>
      </c>
      <c r="X4" s="12" t="s">
        <v>137</v>
      </c>
      <c r="Y4" s="12" t="s">
        <v>138</v>
      </c>
      <c r="Z4" s="13" t="s">
        <v>139</v>
      </c>
      <c r="AA4" s="13" t="s">
        <v>79</v>
      </c>
    </row>
    <row r="5" spans="1:27" ht="85" customHeight="1" x14ac:dyDescent="0.35">
      <c r="A5" s="2" t="s">
        <v>66</v>
      </c>
      <c r="B5" s="2" t="s">
        <v>140</v>
      </c>
      <c r="C5" s="2" t="s">
        <v>141</v>
      </c>
      <c r="D5" s="2" t="s">
        <v>142</v>
      </c>
      <c r="E5" s="2" t="s">
        <v>143</v>
      </c>
      <c r="F5" s="2" t="s">
        <v>144</v>
      </c>
      <c r="G5" s="2" t="s">
        <v>145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146</v>
      </c>
      <c r="AA5" s="2" t="s">
        <v>96</v>
      </c>
    </row>
    <row r="6" spans="1:27" ht="85" customHeight="1" x14ac:dyDescent="0.35">
      <c r="A6" s="4" t="s">
        <v>66</v>
      </c>
      <c r="B6" s="4" t="s">
        <v>140</v>
      </c>
      <c r="C6" s="4" t="s">
        <v>147</v>
      </c>
      <c r="D6" s="4" t="s">
        <v>142</v>
      </c>
      <c r="E6" s="4" t="s">
        <v>143</v>
      </c>
      <c r="F6" s="4" t="s">
        <v>148</v>
      </c>
      <c r="G6" s="4" t="s">
        <v>149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150</v>
      </c>
      <c r="AA6" s="4" t="s">
        <v>97</v>
      </c>
    </row>
    <row r="7" spans="1:27" ht="85" customHeight="1" x14ac:dyDescent="0.35">
      <c r="A7" s="2" t="s">
        <v>151</v>
      </c>
      <c r="B7" s="2" t="s">
        <v>152</v>
      </c>
      <c r="C7" s="2" t="s">
        <v>153</v>
      </c>
      <c r="D7" s="2" t="s">
        <v>154</v>
      </c>
      <c r="E7" s="2" t="s">
        <v>143</v>
      </c>
      <c r="F7" s="2" t="s">
        <v>155</v>
      </c>
      <c r="G7" s="2" t="s">
        <v>149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150</v>
      </c>
      <c r="AA7" s="2" t="s">
        <v>98</v>
      </c>
    </row>
    <row r="8" spans="1:27" ht="85" customHeight="1" x14ac:dyDescent="0.35">
      <c r="A8" s="4" t="s">
        <v>151</v>
      </c>
      <c r="B8" s="4" t="s">
        <v>152</v>
      </c>
      <c r="C8" s="4" t="s">
        <v>156</v>
      </c>
      <c r="D8" s="4" t="s">
        <v>154</v>
      </c>
      <c r="E8" s="4" t="s">
        <v>143</v>
      </c>
      <c r="F8" s="4" t="s">
        <v>155</v>
      </c>
      <c r="G8" s="4" t="s">
        <v>149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150</v>
      </c>
      <c r="AA8" s="4" t="s">
        <v>99</v>
      </c>
    </row>
    <row r="9" spans="1:27" ht="85" customHeight="1" x14ac:dyDescent="0.35">
      <c r="A9" s="2" t="s">
        <v>65</v>
      </c>
      <c r="B9" s="2" t="s">
        <v>157</v>
      </c>
      <c r="C9" s="2" t="s">
        <v>158</v>
      </c>
      <c r="D9" s="2" t="s">
        <v>154</v>
      </c>
      <c r="E9" s="2" t="s">
        <v>143</v>
      </c>
      <c r="F9" s="2" t="s">
        <v>148</v>
      </c>
      <c r="G9" s="2" t="s">
        <v>149</v>
      </c>
      <c r="H9" s="2" t="s">
        <v>61</v>
      </c>
      <c r="I9" s="6">
        <v>85.631428571428572</v>
      </c>
      <c r="J9" s="6">
        <v>85.631428571428572</v>
      </c>
      <c r="K9" s="6">
        <v>59.175714285714292</v>
      </c>
      <c r="L9" s="6">
        <v>59.175714285714292</v>
      </c>
      <c r="M9" s="6">
        <v>21.905714285714289</v>
      </c>
      <c r="N9" s="6">
        <v>21.905714285714289</v>
      </c>
      <c r="O9" s="6">
        <v>29.87142857142857</v>
      </c>
      <c r="P9" s="6">
        <v>29.87142857142857</v>
      </c>
      <c r="Q9" s="6">
        <v>10.952857142857139</v>
      </c>
      <c r="R9" s="6">
        <v>10.952857142857139</v>
      </c>
      <c r="S9" s="6">
        <v>8.9614285714285717</v>
      </c>
      <c r="T9" s="6">
        <v>8.9614285714285717</v>
      </c>
      <c r="U9" s="10" t="str">
        <f>TEXT(价格计算依据!C8,"#,##0.00")&amp;"（"&amp;IF(价格计算依据!D8&gt;=0,"省 ","增加 ")&amp;TEXT(ABS(价格计算依据!D8),"#,##0.00")&amp;"）"</f>
        <v>361.64（省 0.00）</v>
      </c>
      <c r="V9" s="10" t="str">
        <f>TEXT(价格计算依据!E8,"#,##0.00")&amp;"（"&amp;IF(价格计算依据!F8&gt;=0,"省 ","增加 ")&amp;TEXT(ABS(价格计算依据!F8),"#,##0.00")&amp;"）"</f>
        <v>216.99（省 144.66）</v>
      </c>
      <c r="W9" s="10" t="str">
        <f>TEXT(价格计算依据!G8,"#,##0.00")&amp;"（"&amp;IF(价格计算依据!H8&gt;=0,"省 ","增加 ")&amp;TEXT(ABS(价格计算依据!H8),"#,##0.00")&amp;"）"</f>
        <v>144.66（省 216.99）</v>
      </c>
      <c r="X9" s="10" t="str">
        <f>TEXT(价格计算依据!I8,"#,##0.00")&amp;"（"&amp;IF(价格计算依据!J8&gt;=0,"省 ","增加 ")&amp;TEXT(ABS(价格计算依据!J8),"#,##0.00")&amp;"）"</f>
        <v>245.94（省 115.71）</v>
      </c>
      <c r="Y9" s="10" t="str">
        <f>TEXT(价格计算依据!K8,"#,##0.00")&amp;"（"&amp;IF(价格计算依据!L8&gt;=0,"省 ","增加 ")&amp;TEXT(ABS(价格计算依据!L8),"#,##0.00")&amp;"）"</f>
        <v>173.59（省 188.05）</v>
      </c>
      <c r="Z9" s="2" t="s">
        <v>150</v>
      </c>
      <c r="AA9" s="2" t="s">
        <v>100</v>
      </c>
    </row>
    <row r="10" spans="1:27" ht="85" customHeight="1" x14ac:dyDescent="0.35">
      <c r="A10" s="4" t="s">
        <v>65</v>
      </c>
      <c r="B10" s="4" t="s">
        <v>157</v>
      </c>
      <c r="C10" s="4" t="s">
        <v>159</v>
      </c>
      <c r="D10" s="4" t="s">
        <v>154</v>
      </c>
      <c r="E10" s="4" t="s">
        <v>143</v>
      </c>
      <c r="F10" s="4" t="s">
        <v>144</v>
      </c>
      <c r="G10" s="4" t="s">
        <v>145</v>
      </c>
      <c r="H10" s="4" t="s">
        <v>60</v>
      </c>
      <c r="I10" s="5">
        <v>14.139142857142859</v>
      </c>
      <c r="J10" s="5">
        <v>28.278285714285719</v>
      </c>
      <c r="K10" s="5">
        <v>15.36428571428571</v>
      </c>
      <c r="L10" s="5">
        <v>30.728571428571431</v>
      </c>
      <c r="M10" s="5">
        <v>8.9614285714285717</v>
      </c>
      <c r="N10" s="5">
        <v>17.92285714285714</v>
      </c>
      <c r="O10" s="5">
        <v>11.94857142857143</v>
      </c>
      <c r="P10" s="5">
        <v>23.89714285714286</v>
      </c>
      <c r="Q10" s="5">
        <v>5.9742857142857142</v>
      </c>
      <c r="R10" s="5">
        <v>11.94857142857143</v>
      </c>
      <c r="S10" s="5">
        <v>3.9828571428571431</v>
      </c>
      <c r="T10" s="5">
        <v>7.9657142857142853</v>
      </c>
      <c r="U10" s="7" t="str">
        <f>TEXT(价格计算依据!C9,"#,##0.00")&amp;"（"&amp;IF(价格计算依据!D9&gt;=0,"省 ","增加 ")&amp;TEXT(ABS(价格计算依据!D9),"#,##0.00")&amp;"）"</f>
        <v>237.32（省 237.32）</v>
      </c>
      <c r="V10" s="7" t="str">
        <f>TEXT(价格计算依据!E9,"#,##0.00")&amp;"（"&amp;IF(价格计算依据!F9&gt;=0,"省 ","增加 ")&amp;TEXT(ABS(价格计算依据!F9),"#,##0.00")&amp;"）"</f>
        <v>142.39（省 332.25）</v>
      </c>
      <c r="W10" s="7" t="str">
        <f>TEXT(价格计算依据!G9,"#,##0.00")&amp;"（"&amp;IF(价格计算依据!H9&gt;=0,"省 ","增加 ")&amp;TEXT(ABS(价格计算依据!H9),"#,##0.00")&amp;"）"</f>
        <v>94.93（省 379.72）</v>
      </c>
      <c r="X10" s="7" t="str">
        <f>TEXT(价格计算依据!I9,"#,##0.00")&amp;"（"&amp;IF(价格计算依据!J9&gt;=0,"省 ","增加 ")&amp;TEXT(ABS(价格计算依据!J9),"#,##0.00")&amp;"）"</f>
        <v>161.40（省 313.24）</v>
      </c>
      <c r="Y10" s="7" t="str">
        <f>TEXT(价格计算依据!K9,"#,##0.00")&amp;"（"&amp;IF(价格计算依据!L9&gt;=0,"省 ","增加 ")&amp;TEXT(ABS(价格计算依据!L9),"#,##0.00")&amp;"）"</f>
        <v>113.88（省 360.77）</v>
      </c>
      <c r="Z10" s="4" t="s">
        <v>160</v>
      </c>
      <c r="AA10" s="4" t="s">
        <v>101</v>
      </c>
    </row>
    <row r="11" spans="1:27" ht="85" customHeight="1" x14ac:dyDescent="0.35">
      <c r="A11" s="2" t="s">
        <v>65</v>
      </c>
      <c r="B11" s="2" t="s">
        <v>157</v>
      </c>
      <c r="C11" s="2" t="s">
        <v>161</v>
      </c>
      <c r="D11" s="2" t="s">
        <v>154</v>
      </c>
      <c r="E11" s="2" t="s">
        <v>143</v>
      </c>
      <c r="F11" s="2" t="s">
        <v>155</v>
      </c>
      <c r="G11" s="2" t="s">
        <v>162</v>
      </c>
      <c r="H11" s="2" t="s">
        <v>60</v>
      </c>
      <c r="I11" s="6">
        <v>6.472142857142857</v>
      </c>
      <c r="J11" s="6">
        <v>12.94428571428571</v>
      </c>
      <c r="K11" s="6">
        <v>28.30857142857143</v>
      </c>
      <c r="L11" s="6">
        <v>28.30857142857143</v>
      </c>
      <c r="M11" s="6">
        <v>3.9828571428571431</v>
      </c>
      <c r="N11" s="6">
        <v>6.7974095238095238</v>
      </c>
      <c r="O11" s="6">
        <v>5.9742857142857142</v>
      </c>
      <c r="P11" s="6">
        <v>10.19142857142857</v>
      </c>
      <c r="Q11" s="6">
        <v>2.9871428571428571</v>
      </c>
      <c r="R11" s="6">
        <v>6.3061904761904746</v>
      </c>
      <c r="S11" s="6">
        <v>1.9914285714285711</v>
      </c>
      <c r="T11" s="6">
        <v>3.9828571428571431</v>
      </c>
      <c r="U11" s="10" t="str">
        <f>TEXT(价格计算依据!C10,"#,##0.00")&amp;"（"&amp;IF(价格计算依据!D10&gt;=0,"省 ","增加 ")&amp;TEXT(ABS(价格计算依据!D10),"#,##0.00")&amp;"）"</f>
        <v>118.63（省 62.20）</v>
      </c>
      <c r="V11" s="10" t="str">
        <f>TEXT(价格计算依据!E10,"#,##0.00")&amp;"（"&amp;IF(价格计算依据!F10&gt;=0,"省 ","增加 ")&amp;TEXT(ABS(价格计算依据!F10),"#,##0.00")&amp;"）"</f>
        <v>71.18（省 109.65）</v>
      </c>
      <c r="W11" s="10" t="str">
        <f>TEXT(价格计算依据!G10,"#,##0.00")&amp;"（"&amp;IF(价格计算依据!H10&gt;=0,"省 ","增加 ")&amp;TEXT(ABS(价格计算依据!H10),"#,##0.00")&amp;"）"</f>
        <v>47.45（省 133.37）</v>
      </c>
      <c r="X11" s="10" t="str">
        <f>TEXT(价格计算依据!I10,"#,##0.00")&amp;"（"&amp;IF(价格计算依据!J10&gt;=0,"省 ","增加 ")&amp;TEXT(ABS(价格计算依据!J10),"#,##0.00")&amp;"）"</f>
        <v>80.67（省 100.16）</v>
      </c>
      <c r="Y11" s="10" t="str">
        <f>TEXT(价格计算依据!K10,"#,##0.00")&amp;"（"&amp;IF(价格计算依据!L10&gt;=0,"省 ","增加 ")&amp;TEXT(ABS(价格计算依据!L10),"#,##0.00")&amp;"）"</f>
        <v>56.94（省 123.88）</v>
      </c>
      <c r="Z11" s="2" t="s">
        <v>163</v>
      </c>
      <c r="AA11" s="2" t="s">
        <v>102</v>
      </c>
    </row>
    <row r="12" spans="1:27" ht="85" customHeight="1" x14ac:dyDescent="0.35">
      <c r="A12" s="4" t="s">
        <v>65</v>
      </c>
      <c r="B12" s="4" t="s">
        <v>157</v>
      </c>
      <c r="C12" s="4" t="s">
        <v>164</v>
      </c>
      <c r="D12" s="4" t="s">
        <v>154</v>
      </c>
      <c r="E12" s="4" t="s">
        <v>143</v>
      </c>
      <c r="F12" s="4" t="s">
        <v>155</v>
      </c>
      <c r="G12" s="4" t="s">
        <v>162</v>
      </c>
      <c r="H12" s="4" t="s">
        <v>60</v>
      </c>
      <c r="I12" s="5">
        <v>7.0695714285714288</v>
      </c>
      <c r="J12" s="5">
        <v>14.139142857142859</v>
      </c>
      <c r="K12" s="5">
        <v>30.3</v>
      </c>
      <c r="L12" s="5">
        <v>30.3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163</v>
      </c>
      <c r="AA12" s="4" t="s">
        <v>103</v>
      </c>
    </row>
    <row r="13" spans="1:27" ht="85" customHeight="1" x14ac:dyDescent="0.35">
      <c r="A13" s="2" t="s">
        <v>65</v>
      </c>
      <c r="B13" s="2" t="s">
        <v>157</v>
      </c>
      <c r="C13" s="2" t="s">
        <v>165</v>
      </c>
      <c r="D13" s="2" t="s">
        <v>154</v>
      </c>
      <c r="E13" s="2" t="s">
        <v>143</v>
      </c>
      <c r="F13" s="2" t="s">
        <v>155</v>
      </c>
      <c r="G13" s="2" t="s">
        <v>162</v>
      </c>
      <c r="H13" s="2" t="s">
        <v>60</v>
      </c>
      <c r="I13" s="6">
        <v>6.1734285714285706</v>
      </c>
      <c r="J13" s="6">
        <v>12.346857142857139</v>
      </c>
      <c r="K13" s="6">
        <v>29.304285714285712</v>
      </c>
      <c r="L13" s="6">
        <v>29.304285714285712</v>
      </c>
      <c r="M13" s="6">
        <v>3.9828571428571431</v>
      </c>
      <c r="N13" s="6">
        <v>6.7974095238095238</v>
      </c>
      <c r="O13" s="6">
        <v>4.9785714285714286</v>
      </c>
      <c r="P13" s="6">
        <v>8.492857142857142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166</v>
      </c>
      <c r="AA13" s="2" t="s">
        <v>104</v>
      </c>
    </row>
    <row r="14" spans="1:27" ht="85" customHeight="1" x14ac:dyDescent="0.35">
      <c r="A14" s="4" t="s">
        <v>65</v>
      </c>
      <c r="B14" s="4" t="s">
        <v>157</v>
      </c>
      <c r="C14" s="4" t="s">
        <v>167</v>
      </c>
      <c r="D14" s="4" t="s">
        <v>154</v>
      </c>
      <c r="E14" s="4" t="s">
        <v>143</v>
      </c>
      <c r="F14" s="4" t="s">
        <v>155</v>
      </c>
      <c r="G14" s="4" t="s">
        <v>162</v>
      </c>
      <c r="H14" s="4" t="s">
        <v>60</v>
      </c>
      <c r="I14" s="5">
        <v>5.7751428571428578</v>
      </c>
      <c r="J14" s="5">
        <v>11.550285714285719</v>
      </c>
      <c r="K14" s="5">
        <v>27.312857142857141</v>
      </c>
      <c r="L14" s="5">
        <v>27.312857142857141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166</v>
      </c>
      <c r="AA14" s="4" t="s">
        <v>105</v>
      </c>
    </row>
    <row r="15" spans="1:27" ht="85" customHeight="1" x14ac:dyDescent="0.35">
      <c r="A15" s="2" t="s">
        <v>67</v>
      </c>
      <c r="B15" s="2" t="s">
        <v>168</v>
      </c>
      <c r="C15" s="2" t="s">
        <v>169</v>
      </c>
      <c r="D15" s="2" t="s">
        <v>154</v>
      </c>
      <c r="E15" s="2" t="s">
        <v>143</v>
      </c>
      <c r="F15" s="2" t="s">
        <v>155</v>
      </c>
      <c r="G15" s="2" t="s">
        <v>170</v>
      </c>
      <c r="H15" s="2" t="s">
        <v>60</v>
      </c>
      <c r="I15" s="6">
        <v>3.0867142857142862</v>
      </c>
      <c r="J15" s="6">
        <v>6.1734285714285706</v>
      </c>
      <c r="K15" s="6">
        <v>12.377142857142861</v>
      </c>
      <c r="L15" s="6">
        <v>24.754285714285711</v>
      </c>
      <c r="M15" s="6">
        <v>1.9914285714285711</v>
      </c>
      <c r="N15" s="6">
        <v>3.3987047619047619</v>
      </c>
      <c r="O15" s="6">
        <v>1.9914285714285711</v>
      </c>
      <c r="P15" s="6">
        <v>3.3971428571428568</v>
      </c>
      <c r="Q15" s="6">
        <v>0.99571428571428566</v>
      </c>
      <c r="R15" s="6">
        <v>2.102063492063492</v>
      </c>
      <c r="S15" s="6">
        <v>0.99571428571428566</v>
      </c>
      <c r="T15" s="6">
        <v>1.9914285714285711</v>
      </c>
      <c r="U15" s="10" t="str">
        <f>TEXT(价格计算依据!C14,"#,##0.00")&amp;"（"&amp;IF(价格计算依据!D14&gt;=0,"省 ","增加 ")&amp;TEXT(ABS(价格计算依据!D14),"#,##0.00")&amp;"）"</f>
        <v>90.37（省 90.45）</v>
      </c>
      <c r="V15" s="10" t="str">
        <f>TEXT(价格计算依据!E14,"#,##0.00")&amp;"（"&amp;IF(价格计算依据!F14&gt;=0,"省 ","增加 ")&amp;TEXT(ABS(价格计算依据!F14),"#,##0.00")&amp;"）"</f>
        <v>54.22（省 126.60）</v>
      </c>
      <c r="W15" s="10" t="str">
        <f>TEXT(价格计算依据!G14,"#,##0.00")&amp;"（"&amp;IF(价格计算依据!H14&gt;=0,"省 ","增加 ")&amp;TEXT(ABS(价格计算依据!H14),"#,##0.00")&amp;"）"</f>
        <v>36.15（省 144.67）</v>
      </c>
      <c r="X15" s="10" t="str">
        <f>TEXT(价格计算依据!I14,"#,##0.00")&amp;"（"&amp;IF(价格计算依据!J14&gt;=0,"省 ","增加 ")&amp;TEXT(ABS(价格计算依据!J14),"#,##0.00")&amp;"）"</f>
        <v>61.47（省 119.36）</v>
      </c>
      <c r="Y15" s="10" t="str">
        <f>TEXT(价格计算依据!K14,"#,##0.00")&amp;"（"&amp;IF(价格计算依据!L14&gt;=0,"省 ","增加 ")&amp;TEXT(ABS(价格计算依据!L14),"#,##0.00")&amp;"）"</f>
        <v>43.36（省 137.46）</v>
      </c>
      <c r="Z15" s="2" t="s">
        <v>160</v>
      </c>
      <c r="AA15" s="2" t="s">
        <v>106</v>
      </c>
    </row>
    <row r="16" spans="1:27" ht="85" customHeight="1" x14ac:dyDescent="0.35">
      <c r="A16" s="4" t="s">
        <v>67</v>
      </c>
      <c r="B16" s="4" t="s">
        <v>168</v>
      </c>
      <c r="C16" s="4" t="s">
        <v>171</v>
      </c>
      <c r="D16" s="4" t="s">
        <v>154</v>
      </c>
      <c r="E16" s="4" t="s">
        <v>172</v>
      </c>
      <c r="F16" s="4" t="s">
        <v>155</v>
      </c>
      <c r="G16" s="4" t="s">
        <v>149</v>
      </c>
      <c r="H16" s="4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7" t="str">
        <f>TEXT(价格计算依据!C15,"#,##0.00")&amp;"（"&amp;IF(价格计算依据!D15&gt;=0,"省 ","增加 ")&amp;TEXT(ABS(价格计算依据!D15),"#,##0.00")&amp;"）"</f>
        <v>0.00（省 0.00）</v>
      </c>
      <c r="V16" s="4" t="s">
        <v>108</v>
      </c>
      <c r="W16" s="4" t="s">
        <v>108</v>
      </c>
      <c r="X16" s="4" t="s">
        <v>108</v>
      </c>
      <c r="Y16" s="4" t="s">
        <v>108</v>
      </c>
      <c r="Z16" s="4" t="s">
        <v>173</v>
      </c>
      <c r="AA16" s="4" t="s">
        <v>107</v>
      </c>
    </row>
  </sheetData>
  <autoFilter ref="A4:AA16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174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175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63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 t="s">
        <v>22</v>
      </c>
      <c r="H3" s="3" t="s">
        <v>4</v>
      </c>
      <c r="I3" s="3" t="s">
        <v>181</v>
      </c>
    </row>
    <row r="4" spans="1:9" x14ac:dyDescent="0.35">
      <c r="A4" s="4" t="s">
        <v>66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价格计算依据!D4+价格计算依据!D5</f>
        <v>183.96</v>
      </c>
      <c r="H4" s="4" t="s">
        <v>182</v>
      </c>
      <c r="I4" s="4" t="s">
        <v>183</v>
      </c>
    </row>
    <row r="5" spans="1:9" x14ac:dyDescent="0.35">
      <c r="A5" s="2" t="s">
        <v>184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185</v>
      </c>
      <c r="I5" s="2" t="s">
        <v>186</v>
      </c>
    </row>
    <row r="6" spans="1:9" x14ac:dyDescent="0.35">
      <c r="A6" s="4" t="s">
        <v>151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价格计算依据!D6+价格计算依据!D7</f>
        <v>0</v>
      </c>
      <c r="H6" s="4" t="s">
        <v>182</v>
      </c>
      <c r="I6" s="4" t="s">
        <v>187</v>
      </c>
    </row>
    <row r="7" spans="1:9" x14ac:dyDescent="0.35">
      <c r="A7" s="2" t="s">
        <v>188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189</v>
      </c>
      <c r="I7" s="2" t="s">
        <v>190</v>
      </c>
    </row>
    <row r="8" spans="1:9" x14ac:dyDescent="0.35">
      <c r="A8" s="4" t="s">
        <v>65</v>
      </c>
      <c r="B8" s="5">
        <v>6</v>
      </c>
      <c r="C8" s="5">
        <v>6</v>
      </c>
      <c r="D8" s="5">
        <v>0</v>
      </c>
      <c r="E8" s="5">
        <v>0</v>
      </c>
      <c r="F8" s="5">
        <v>5</v>
      </c>
      <c r="G8" s="7">
        <f>价格计算依据!D8+价格计算依据!D9+价格计算依据!D10+价格计算依据!D11+价格计算依据!D12+价格计算依据!D13</f>
        <v>486.10700000000008</v>
      </c>
      <c r="H8" s="4" t="s">
        <v>182</v>
      </c>
      <c r="I8" s="4" t="s">
        <v>191</v>
      </c>
    </row>
    <row r="9" spans="1:9" x14ac:dyDescent="0.35">
      <c r="A9" s="2" t="s">
        <v>67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价格计算依据!D14+价格计算依据!D15</f>
        <v>90.447000000000003</v>
      </c>
      <c r="H9" s="2" t="s">
        <v>182</v>
      </c>
      <c r="I9" s="2" t="s">
        <v>192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6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193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194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63</v>
      </c>
      <c r="B3" s="3" t="s">
        <v>115</v>
      </c>
      <c r="C3" s="3" t="s">
        <v>116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79</v>
      </c>
    </row>
    <row r="4" spans="1:8" ht="25" x14ac:dyDescent="0.35">
      <c r="A4" s="4" t="s">
        <v>65</v>
      </c>
      <c r="B4" s="4" t="s">
        <v>157</v>
      </c>
      <c r="C4" s="4" t="s">
        <v>161</v>
      </c>
      <c r="D4" s="4" t="s">
        <v>199</v>
      </c>
      <c r="E4" s="4" t="s">
        <v>200</v>
      </c>
      <c r="F4" s="5">
        <v>6.3049999999999997</v>
      </c>
      <c r="G4" s="5">
        <v>1440</v>
      </c>
      <c r="H4" s="4" t="s">
        <v>102</v>
      </c>
    </row>
    <row r="5" spans="1:8" ht="25" x14ac:dyDescent="0.35">
      <c r="A5" s="2" t="s">
        <v>65</v>
      </c>
      <c r="B5" s="2" t="s">
        <v>157</v>
      </c>
      <c r="C5" s="2" t="s">
        <v>161</v>
      </c>
      <c r="D5" s="2" t="s">
        <v>199</v>
      </c>
      <c r="E5" s="2" t="s">
        <v>201</v>
      </c>
      <c r="F5" s="6">
        <v>6.5</v>
      </c>
      <c r="G5" s="6">
        <v>1440</v>
      </c>
      <c r="H5" s="2" t="s">
        <v>102</v>
      </c>
    </row>
    <row r="6" spans="1:8" ht="25" x14ac:dyDescent="0.35">
      <c r="A6" s="4" t="s">
        <v>65</v>
      </c>
      <c r="B6" s="4" t="s">
        <v>157</v>
      </c>
      <c r="C6" s="4" t="s">
        <v>161</v>
      </c>
      <c r="D6" s="4" t="s">
        <v>199</v>
      </c>
      <c r="E6" s="4" t="s">
        <v>202</v>
      </c>
      <c r="F6" s="5">
        <v>6.6950000000000003</v>
      </c>
      <c r="G6" s="5">
        <v>1440</v>
      </c>
      <c r="H6" s="4" t="s">
        <v>102</v>
      </c>
    </row>
    <row r="7" spans="1:8" ht="25" x14ac:dyDescent="0.35">
      <c r="A7" s="2" t="s">
        <v>65</v>
      </c>
      <c r="B7" s="2" t="s">
        <v>157</v>
      </c>
      <c r="C7" s="2" t="s">
        <v>161</v>
      </c>
      <c r="D7" s="2" t="s">
        <v>199</v>
      </c>
      <c r="E7" s="2" t="s">
        <v>203</v>
      </c>
      <c r="F7" s="6">
        <v>6.3049999999999997</v>
      </c>
      <c r="G7" s="6">
        <v>1440</v>
      </c>
      <c r="H7" s="2" t="s">
        <v>102</v>
      </c>
    </row>
    <row r="8" spans="1:8" ht="25" x14ac:dyDescent="0.35">
      <c r="A8" s="4" t="s">
        <v>65</v>
      </c>
      <c r="B8" s="4" t="s">
        <v>157</v>
      </c>
      <c r="C8" s="4" t="s">
        <v>161</v>
      </c>
      <c r="D8" s="4" t="s">
        <v>199</v>
      </c>
      <c r="E8" s="4" t="s">
        <v>204</v>
      </c>
      <c r="F8" s="5">
        <v>6.5</v>
      </c>
      <c r="G8" s="5">
        <v>1440</v>
      </c>
      <c r="H8" s="4" t="s">
        <v>102</v>
      </c>
    </row>
    <row r="9" spans="1:8" ht="25" x14ac:dyDescent="0.35">
      <c r="A9" s="2" t="s">
        <v>65</v>
      </c>
      <c r="B9" s="2" t="s">
        <v>157</v>
      </c>
      <c r="C9" s="2" t="s">
        <v>161</v>
      </c>
      <c r="D9" s="2" t="s">
        <v>199</v>
      </c>
      <c r="E9" s="2" t="s">
        <v>205</v>
      </c>
      <c r="F9" s="6">
        <v>6.6950000000000003</v>
      </c>
      <c r="G9" s="6">
        <v>1440</v>
      </c>
      <c r="H9" s="2" t="s">
        <v>102</v>
      </c>
    </row>
    <row r="10" spans="1:8" ht="25" x14ac:dyDescent="0.35">
      <c r="A10" s="4" t="s">
        <v>65</v>
      </c>
      <c r="B10" s="4" t="s">
        <v>157</v>
      </c>
      <c r="C10" s="4" t="s">
        <v>161</v>
      </c>
      <c r="D10" s="4" t="s">
        <v>199</v>
      </c>
      <c r="E10" s="4" t="s">
        <v>206</v>
      </c>
      <c r="F10" s="5">
        <v>6.3049999999999997</v>
      </c>
      <c r="G10" s="5">
        <v>1440</v>
      </c>
      <c r="H10" s="4" t="s">
        <v>102</v>
      </c>
    </row>
    <row r="11" spans="1:8" ht="25" x14ac:dyDescent="0.35">
      <c r="A11" s="2" t="s">
        <v>65</v>
      </c>
      <c r="B11" s="2" t="s">
        <v>157</v>
      </c>
      <c r="C11" s="2" t="s">
        <v>161</v>
      </c>
      <c r="D11" s="2" t="s">
        <v>207</v>
      </c>
      <c r="E11" s="2" t="s">
        <v>200</v>
      </c>
      <c r="F11" s="6">
        <v>69.84</v>
      </c>
      <c r="G11" s="6">
        <v>1440</v>
      </c>
      <c r="H11" s="2" t="s">
        <v>102</v>
      </c>
    </row>
    <row r="12" spans="1:8" ht="25" x14ac:dyDescent="0.35">
      <c r="A12" s="4" t="s">
        <v>65</v>
      </c>
      <c r="B12" s="4" t="s">
        <v>157</v>
      </c>
      <c r="C12" s="4" t="s">
        <v>161</v>
      </c>
      <c r="D12" s="4" t="s">
        <v>207</v>
      </c>
      <c r="E12" s="4" t="s">
        <v>201</v>
      </c>
      <c r="F12" s="5">
        <v>72</v>
      </c>
      <c r="G12" s="5">
        <v>1440</v>
      </c>
      <c r="H12" s="4" t="s">
        <v>102</v>
      </c>
    </row>
    <row r="13" spans="1:8" ht="25" x14ac:dyDescent="0.35">
      <c r="A13" s="2" t="s">
        <v>65</v>
      </c>
      <c r="B13" s="2" t="s">
        <v>157</v>
      </c>
      <c r="C13" s="2" t="s">
        <v>161</v>
      </c>
      <c r="D13" s="2" t="s">
        <v>207</v>
      </c>
      <c r="E13" s="2" t="s">
        <v>202</v>
      </c>
      <c r="F13" s="6">
        <v>74.16</v>
      </c>
      <c r="G13" s="6">
        <v>1440</v>
      </c>
      <c r="H13" s="2" t="s">
        <v>102</v>
      </c>
    </row>
    <row r="14" spans="1:8" ht="25" x14ac:dyDescent="0.35">
      <c r="A14" s="4" t="s">
        <v>65</v>
      </c>
      <c r="B14" s="4" t="s">
        <v>157</v>
      </c>
      <c r="C14" s="4" t="s">
        <v>161</v>
      </c>
      <c r="D14" s="4" t="s">
        <v>207</v>
      </c>
      <c r="E14" s="4" t="s">
        <v>203</v>
      </c>
      <c r="F14" s="5">
        <v>69.84</v>
      </c>
      <c r="G14" s="5">
        <v>1440</v>
      </c>
      <c r="H14" s="4" t="s">
        <v>102</v>
      </c>
    </row>
    <row r="15" spans="1:8" ht="25" x14ac:dyDescent="0.35">
      <c r="A15" s="2" t="s">
        <v>65</v>
      </c>
      <c r="B15" s="2" t="s">
        <v>157</v>
      </c>
      <c r="C15" s="2" t="s">
        <v>161</v>
      </c>
      <c r="D15" s="2" t="s">
        <v>207</v>
      </c>
      <c r="E15" s="2" t="s">
        <v>204</v>
      </c>
      <c r="F15" s="6">
        <v>72</v>
      </c>
      <c r="G15" s="6">
        <v>1440</v>
      </c>
      <c r="H15" s="2" t="s">
        <v>102</v>
      </c>
    </row>
    <row r="16" spans="1:8" ht="25" x14ac:dyDescent="0.35">
      <c r="A16" s="4" t="s">
        <v>65</v>
      </c>
      <c r="B16" s="4" t="s">
        <v>157</v>
      </c>
      <c r="C16" s="4" t="s">
        <v>161</v>
      </c>
      <c r="D16" s="4" t="s">
        <v>207</v>
      </c>
      <c r="E16" s="4" t="s">
        <v>205</v>
      </c>
      <c r="F16" s="5">
        <v>74.16</v>
      </c>
      <c r="G16" s="5">
        <v>1440</v>
      </c>
      <c r="H16" s="4" t="s">
        <v>102</v>
      </c>
    </row>
    <row r="17" spans="1:8" ht="25" x14ac:dyDescent="0.35">
      <c r="A17" s="2" t="s">
        <v>65</v>
      </c>
      <c r="B17" s="2" t="s">
        <v>157</v>
      </c>
      <c r="C17" s="2" t="s">
        <v>161</v>
      </c>
      <c r="D17" s="2" t="s">
        <v>207</v>
      </c>
      <c r="E17" s="2" t="s">
        <v>206</v>
      </c>
      <c r="F17" s="6">
        <v>69.84</v>
      </c>
      <c r="G17" s="6">
        <v>1440</v>
      </c>
      <c r="H17" s="2" t="s">
        <v>102</v>
      </c>
    </row>
    <row r="18" spans="1:8" ht="25" x14ac:dyDescent="0.35">
      <c r="A18" s="4" t="s">
        <v>65</v>
      </c>
      <c r="B18" s="4" t="s">
        <v>157</v>
      </c>
      <c r="C18" s="4" t="s">
        <v>161</v>
      </c>
      <c r="D18" s="4" t="s">
        <v>208</v>
      </c>
      <c r="E18" s="4" t="s">
        <v>200</v>
      </c>
      <c r="F18" s="5">
        <v>3.88</v>
      </c>
      <c r="G18" s="5">
        <v>1440</v>
      </c>
      <c r="H18" s="4" t="s">
        <v>102</v>
      </c>
    </row>
    <row r="19" spans="1:8" ht="25" x14ac:dyDescent="0.35">
      <c r="A19" s="2" t="s">
        <v>65</v>
      </c>
      <c r="B19" s="2" t="s">
        <v>157</v>
      </c>
      <c r="C19" s="2" t="s">
        <v>161</v>
      </c>
      <c r="D19" s="2" t="s">
        <v>208</v>
      </c>
      <c r="E19" s="2" t="s">
        <v>201</v>
      </c>
      <c r="F19" s="6">
        <v>4</v>
      </c>
      <c r="G19" s="6">
        <v>1440</v>
      </c>
      <c r="H19" s="2" t="s">
        <v>102</v>
      </c>
    </row>
    <row r="20" spans="1:8" ht="25" x14ac:dyDescent="0.35">
      <c r="A20" s="4" t="s">
        <v>65</v>
      </c>
      <c r="B20" s="4" t="s">
        <v>157</v>
      </c>
      <c r="C20" s="4" t="s">
        <v>161</v>
      </c>
      <c r="D20" s="4" t="s">
        <v>208</v>
      </c>
      <c r="E20" s="4" t="s">
        <v>202</v>
      </c>
      <c r="F20" s="5">
        <v>4.12</v>
      </c>
      <c r="G20" s="5">
        <v>1440</v>
      </c>
      <c r="H20" s="4" t="s">
        <v>102</v>
      </c>
    </row>
    <row r="21" spans="1:8" ht="25" x14ac:dyDescent="0.35">
      <c r="A21" s="2" t="s">
        <v>65</v>
      </c>
      <c r="B21" s="2" t="s">
        <v>157</v>
      </c>
      <c r="C21" s="2" t="s">
        <v>161</v>
      </c>
      <c r="D21" s="2" t="s">
        <v>208</v>
      </c>
      <c r="E21" s="2" t="s">
        <v>203</v>
      </c>
      <c r="F21" s="6">
        <v>3.88</v>
      </c>
      <c r="G21" s="6">
        <v>1440</v>
      </c>
      <c r="H21" s="2" t="s">
        <v>102</v>
      </c>
    </row>
    <row r="22" spans="1:8" ht="25" x14ac:dyDescent="0.35">
      <c r="A22" s="4" t="s">
        <v>65</v>
      </c>
      <c r="B22" s="4" t="s">
        <v>157</v>
      </c>
      <c r="C22" s="4" t="s">
        <v>161</v>
      </c>
      <c r="D22" s="4" t="s">
        <v>208</v>
      </c>
      <c r="E22" s="4" t="s">
        <v>204</v>
      </c>
      <c r="F22" s="5">
        <v>4</v>
      </c>
      <c r="G22" s="5">
        <v>1440</v>
      </c>
      <c r="H22" s="4" t="s">
        <v>102</v>
      </c>
    </row>
    <row r="23" spans="1:8" ht="25" x14ac:dyDescent="0.35">
      <c r="A23" s="2" t="s">
        <v>65</v>
      </c>
      <c r="B23" s="2" t="s">
        <v>157</v>
      </c>
      <c r="C23" s="2" t="s">
        <v>161</v>
      </c>
      <c r="D23" s="2" t="s">
        <v>208</v>
      </c>
      <c r="E23" s="2" t="s">
        <v>205</v>
      </c>
      <c r="F23" s="6">
        <v>4.12</v>
      </c>
      <c r="G23" s="6">
        <v>1440</v>
      </c>
      <c r="H23" s="2" t="s">
        <v>102</v>
      </c>
    </row>
    <row r="24" spans="1:8" ht="25" x14ac:dyDescent="0.35">
      <c r="A24" s="4" t="s">
        <v>65</v>
      </c>
      <c r="B24" s="4" t="s">
        <v>157</v>
      </c>
      <c r="C24" s="4" t="s">
        <v>161</v>
      </c>
      <c r="D24" s="4" t="s">
        <v>208</v>
      </c>
      <c r="E24" s="4" t="s">
        <v>206</v>
      </c>
      <c r="F24" s="5">
        <v>3.88</v>
      </c>
      <c r="G24" s="5">
        <v>1440</v>
      </c>
      <c r="H24" s="4" t="s">
        <v>102</v>
      </c>
    </row>
    <row r="25" spans="1:8" ht="25" x14ac:dyDescent="0.35">
      <c r="A25" s="2" t="s">
        <v>65</v>
      </c>
      <c r="B25" s="2" t="s">
        <v>157</v>
      </c>
      <c r="C25" s="2" t="s">
        <v>161</v>
      </c>
      <c r="D25" s="2" t="s">
        <v>209</v>
      </c>
      <c r="E25" s="2" t="s">
        <v>200</v>
      </c>
      <c r="F25" s="6">
        <v>5.82</v>
      </c>
      <c r="G25" s="6">
        <v>1440</v>
      </c>
      <c r="H25" s="2" t="s">
        <v>102</v>
      </c>
    </row>
    <row r="26" spans="1:8" ht="25" x14ac:dyDescent="0.35">
      <c r="A26" s="4" t="s">
        <v>65</v>
      </c>
      <c r="B26" s="4" t="s">
        <v>157</v>
      </c>
      <c r="C26" s="4" t="s">
        <v>161</v>
      </c>
      <c r="D26" s="4" t="s">
        <v>209</v>
      </c>
      <c r="E26" s="4" t="s">
        <v>201</v>
      </c>
      <c r="F26" s="5">
        <v>6</v>
      </c>
      <c r="G26" s="5">
        <v>1440</v>
      </c>
      <c r="H26" s="4" t="s">
        <v>102</v>
      </c>
    </row>
    <row r="27" spans="1:8" ht="25" x14ac:dyDescent="0.35">
      <c r="A27" s="2" t="s">
        <v>65</v>
      </c>
      <c r="B27" s="2" t="s">
        <v>157</v>
      </c>
      <c r="C27" s="2" t="s">
        <v>161</v>
      </c>
      <c r="D27" s="2" t="s">
        <v>209</v>
      </c>
      <c r="E27" s="2" t="s">
        <v>202</v>
      </c>
      <c r="F27" s="6">
        <v>6.18</v>
      </c>
      <c r="G27" s="6">
        <v>1440</v>
      </c>
      <c r="H27" s="2" t="s">
        <v>102</v>
      </c>
    </row>
    <row r="28" spans="1:8" ht="25" x14ac:dyDescent="0.35">
      <c r="A28" s="4" t="s">
        <v>65</v>
      </c>
      <c r="B28" s="4" t="s">
        <v>157</v>
      </c>
      <c r="C28" s="4" t="s">
        <v>161</v>
      </c>
      <c r="D28" s="4" t="s">
        <v>209</v>
      </c>
      <c r="E28" s="4" t="s">
        <v>203</v>
      </c>
      <c r="F28" s="5">
        <v>5.82</v>
      </c>
      <c r="G28" s="5">
        <v>1440</v>
      </c>
      <c r="H28" s="4" t="s">
        <v>102</v>
      </c>
    </row>
    <row r="29" spans="1:8" ht="25" x14ac:dyDescent="0.35">
      <c r="A29" s="2" t="s">
        <v>65</v>
      </c>
      <c r="B29" s="2" t="s">
        <v>157</v>
      </c>
      <c r="C29" s="2" t="s">
        <v>161</v>
      </c>
      <c r="D29" s="2" t="s">
        <v>209</v>
      </c>
      <c r="E29" s="2" t="s">
        <v>204</v>
      </c>
      <c r="F29" s="6">
        <v>6</v>
      </c>
      <c r="G29" s="6">
        <v>1440</v>
      </c>
      <c r="H29" s="2" t="s">
        <v>102</v>
      </c>
    </row>
    <row r="30" spans="1:8" ht="25" x14ac:dyDescent="0.35">
      <c r="A30" s="4" t="s">
        <v>65</v>
      </c>
      <c r="B30" s="4" t="s">
        <v>157</v>
      </c>
      <c r="C30" s="4" t="s">
        <v>161</v>
      </c>
      <c r="D30" s="4" t="s">
        <v>209</v>
      </c>
      <c r="E30" s="4" t="s">
        <v>205</v>
      </c>
      <c r="F30" s="5">
        <v>6.18</v>
      </c>
      <c r="G30" s="5">
        <v>1440</v>
      </c>
      <c r="H30" s="4" t="s">
        <v>102</v>
      </c>
    </row>
    <row r="31" spans="1:8" ht="25" x14ac:dyDescent="0.35">
      <c r="A31" s="2" t="s">
        <v>65</v>
      </c>
      <c r="B31" s="2" t="s">
        <v>157</v>
      </c>
      <c r="C31" s="2" t="s">
        <v>161</v>
      </c>
      <c r="D31" s="2" t="s">
        <v>209</v>
      </c>
      <c r="E31" s="2" t="s">
        <v>206</v>
      </c>
      <c r="F31" s="6">
        <v>5.82</v>
      </c>
      <c r="G31" s="6">
        <v>1440</v>
      </c>
      <c r="H31" s="2" t="s">
        <v>102</v>
      </c>
    </row>
    <row r="32" spans="1:8" ht="25" x14ac:dyDescent="0.35">
      <c r="A32" s="4" t="s">
        <v>65</v>
      </c>
      <c r="B32" s="4" t="s">
        <v>157</v>
      </c>
      <c r="C32" s="4" t="s">
        <v>161</v>
      </c>
      <c r="D32" s="4" t="s">
        <v>210</v>
      </c>
      <c r="E32" s="4" t="s">
        <v>200</v>
      </c>
      <c r="F32" s="5">
        <v>2.91</v>
      </c>
      <c r="G32" s="5">
        <v>1440</v>
      </c>
      <c r="H32" s="4" t="s">
        <v>102</v>
      </c>
    </row>
    <row r="33" spans="1:8" ht="25" x14ac:dyDescent="0.35">
      <c r="A33" s="2" t="s">
        <v>65</v>
      </c>
      <c r="B33" s="2" t="s">
        <v>157</v>
      </c>
      <c r="C33" s="2" t="s">
        <v>161</v>
      </c>
      <c r="D33" s="2" t="s">
        <v>210</v>
      </c>
      <c r="E33" s="2" t="s">
        <v>201</v>
      </c>
      <c r="F33" s="6">
        <v>3</v>
      </c>
      <c r="G33" s="6">
        <v>1440</v>
      </c>
      <c r="H33" s="2" t="s">
        <v>102</v>
      </c>
    </row>
    <row r="34" spans="1:8" ht="25" x14ac:dyDescent="0.35">
      <c r="A34" s="4" t="s">
        <v>65</v>
      </c>
      <c r="B34" s="4" t="s">
        <v>157</v>
      </c>
      <c r="C34" s="4" t="s">
        <v>161</v>
      </c>
      <c r="D34" s="4" t="s">
        <v>210</v>
      </c>
      <c r="E34" s="4" t="s">
        <v>202</v>
      </c>
      <c r="F34" s="5">
        <v>3.09</v>
      </c>
      <c r="G34" s="5">
        <v>1440</v>
      </c>
      <c r="H34" s="4" t="s">
        <v>102</v>
      </c>
    </row>
    <row r="35" spans="1:8" ht="25" x14ac:dyDescent="0.35">
      <c r="A35" s="2" t="s">
        <v>65</v>
      </c>
      <c r="B35" s="2" t="s">
        <v>157</v>
      </c>
      <c r="C35" s="2" t="s">
        <v>161</v>
      </c>
      <c r="D35" s="2" t="s">
        <v>210</v>
      </c>
      <c r="E35" s="2" t="s">
        <v>203</v>
      </c>
      <c r="F35" s="6">
        <v>2.91</v>
      </c>
      <c r="G35" s="6">
        <v>1440</v>
      </c>
      <c r="H35" s="2" t="s">
        <v>102</v>
      </c>
    </row>
    <row r="36" spans="1:8" ht="25" x14ac:dyDescent="0.35">
      <c r="A36" s="4" t="s">
        <v>65</v>
      </c>
      <c r="B36" s="4" t="s">
        <v>157</v>
      </c>
      <c r="C36" s="4" t="s">
        <v>161</v>
      </c>
      <c r="D36" s="4" t="s">
        <v>210</v>
      </c>
      <c r="E36" s="4" t="s">
        <v>204</v>
      </c>
      <c r="F36" s="5">
        <v>3</v>
      </c>
      <c r="G36" s="5">
        <v>1440</v>
      </c>
      <c r="H36" s="4" t="s">
        <v>102</v>
      </c>
    </row>
    <row r="37" spans="1:8" ht="25" x14ac:dyDescent="0.35">
      <c r="A37" s="2" t="s">
        <v>65</v>
      </c>
      <c r="B37" s="2" t="s">
        <v>157</v>
      </c>
      <c r="C37" s="2" t="s">
        <v>161</v>
      </c>
      <c r="D37" s="2" t="s">
        <v>210</v>
      </c>
      <c r="E37" s="2" t="s">
        <v>205</v>
      </c>
      <c r="F37" s="6">
        <v>3.09</v>
      </c>
      <c r="G37" s="6">
        <v>1440</v>
      </c>
      <c r="H37" s="2" t="s">
        <v>102</v>
      </c>
    </row>
    <row r="38" spans="1:8" ht="25" x14ac:dyDescent="0.35">
      <c r="A38" s="4" t="s">
        <v>65</v>
      </c>
      <c r="B38" s="4" t="s">
        <v>157</v>
      </c>
      <c r="C38" s="4" t="s">
        <v>161</v>
      </c>
      <c r="D38" s="4" t="s">
        <v>210</v>
      </c>
      <c r="E38" s="4" t="s">
        <v>206</v>
      </c>
      <c r="F38" s="5">
        <v>2.91</v>
      </c>
      <c r="G38" s="5">
        <v>1440</v>
      </c>
      <c r="H38" s="4" t="s">
        <v>102</v>
      </c>
    </row>
    <row r="39" spans="1:8" ht="25" x14ac:dyDescent="0.35">
      <c r="A39" s="2" t="s">
        <v>65</v>
      </c>
      <c r="B39" s="2" t="s">
        <v>157</v>
      </c>
      <c r="C39" s="2" t="s">
        <v>161</v>
      </c>
      <c r="D39" s="2" t="s">
        <v>211</v>
      </c>
      <c r="E39" s="2" t="s">
        <v>200</v>
      </c>
      <c r="F39" s="6">
        <v>1.94</v>
      </c>
      <c r="G39" s="6">
        <v>1440</v>
      </c>
      <c r="H39" s="2" t="s">
        <v>102</v>
      </c>
    </row>
    <row r="40" spans="1:8" ht="25" x14ac:dyDescent="0.35">
      <c r="A40" s="4" t="s">
        <v>65</v>
      </c>
      <c r="B40" s="4" t="s">
        <v>157</v>
      </c>
      <c r="C40" s="4" t="s">
        <v>161</v>
      </c>
      <c r="D40" s="4" t="s">
        <v>211</v>
      </c>
      <c r="E40" s="4" t="s">
        <v>201</v>
      </c>
      <c r="F40" s="5">
        <v>2</v>
      </c>
      <c r="G40" s="5">
        <v>1440</v>
      </c>
      <c r="H40" s="4" t="s">
        <v>102</v>
      </c>
    </row>
    <row r="41" spans="1:8" ht="25" x14ac:dyDescent="0.35">
      <c r="A41" s="2" t="s">
        <v>65</v>
      </c>
      <c r="B41" s="2" t="s">
        <v>157</v>
      </c>
      <c r="C41" s="2" t="s">
        <v>161</v>
      </c>
      <c r="D41" s="2" t="s">
        <v>211</v>
      </c>
      <c r="E41" s="2" t="s">
        <v>202</v>
      </c>
      <c r="F41" s="6">
        <v>2.06</v>
      </c>
      <c r="G41" s="6">
        <v>1440</v>
      </c>
      <c r="H41" s="2" t="s">
        <v>102</v>
      </c>
    </row>
    <row r="42" spans="1:8" ht="25" x14ac:dyDescent="0.35">
      <c r="A42" s="4" t="s">
        <v>65</v>
      </c>
      <c r="B42" s="4" t="s">
        <v>157</v>
      </c>
      <c r="C42" s="4" t="s">
        <v>161</v>
      </c>
      <c r="D42" s="4" t="s">
        <v>211</v>
      </c>
      <c r="E42" s="4" t="s">
        <v>203</v>
      </c>
      <c r="F42" s="5">
        <v>1.94</v>
      </c>
      <c r="G42" s="5">
        <v>1440</v>
      </c>
      <c r="H42" s="4" t="s">
        <v>102</v>
      </c>
    </row>
    <row r="43" spans="1:8" ht="25" x14ac:dyDescent="0.35">
      <c r="A43" s="2" t="s">
        <v>65</v>
      </c>
      <c r="B43" s="2" t="s">
        <v>157</v>
      </c>
      <c r="C43" s="2" t="s">
        <v>161</v>
      </c>
      <c r="D43" s="2" t="s">
        <v>211</v>
      </c>
      <c r="E43" s="2" t="s">
        <v>204</v>
      </c>
      <c r="F43" s="6">
        <v>2</v>
      </c>
      <c r="G43" s="6">
        <v>1440</v>
      </c>
      <c r="H43" s="2" t="s">
        <v>102</v>
      </c>
    </row>
    <row r="44" spans="1:8" ht="25" x14ac:dyDescent="0.35">
      <c r="A44" s="4" t="s">
        <v>65</v>
      </c>
      <c r="B44" s="4" t="s">
        <v>157</v>
      </c>
      <c r="C44" s="4" t="s">
        <v>161</v>
      </c>
      <c r="D44" s="4" t="s">
        <v>211</v>
      </c>
      <c r="E44" s="4" t="s">
        <v>205</v>
      </c>
      <c r="F44" s="5">
        <v>2.06</v>
      </c>
      <c r="G44" s="5">
        <v>1440</v>
      </c>
      <c r="H44" s="4" t="s">
        <v>102</v>
      </c>
    </row>
    <row r="45" spans="1:8" ht="25" x14ac:dyDescent="0.35">
      <c r="A45" s="2" t="s">
        <v>65</v>
      </c>
      <c r="B45" s="2" t="s">
        <v>157</v>
      </c>
      <c r="C45" s="2" t="s">
        <v>161</v>
      </c>
      <c r="D45" s="2" t="s">
        <v>211</v>
      </c>
      <c r="E45" s="2" t="s">
        <v>206</v>
      </c>
      <c r="F45" s="6">
        <v>1.94</v>
      </c>
      <c r="G45" s="6">
        <v>1440</v>
      </c>
      <c r="H45" s="2" t="s">
        <v>102</v>
      </c>
    </row>
    <row r="46" spans="1:8" ht="25" x14ac:dyDescent="0.35">
      <c r="A46" s="4" t="s">
        <v>65</v>
      </c>
      <c r="B46" s="4" t="s">
        <v>157</v>
      </c>
      <c r="C46" s="4" t="s">
        <v>164</v>
      </c>
      <c r="D46" s="4" t="s">
        <v>199</v>
      </c>
      <c r="E46" s="4" t="s">
        <v>200</v>
      </c>
      <c r="F46" s="5">
        <v>6.8869999999999996</v>
      </c>
      <c r="G46" s="5">
        <v>1440</v>
      </c>
      <c r="H46" s="4" t="s">
        <v>103</v>
      </c>
    </row>
    <row r="47" spans="1:8" ht="25" x14ac:dyDescent="0.35">
      <c r="A47" s="2" t="s">
        <v>65</v>
      </c>
      <c r="B47" s="2" t="s">
        <v>157</v>
      </c>
      <c r="C47" s="2" t="s">
        <v>164</v>
      </c>
      <c r="D47" s="2" t="s">
        <v>199</v>
      </c>
      <c r="E47" s="2" t="s">
        <v>201</v>
      </c>
      <c r="F47" s="6">
        <v>7.1</v>
      </c>
      <c r="G47" s="6">
        <v>1440</v>
      </c>
      <c r="H47" s="2" t="s">
        <v>103</v>
      </c>
    </row>
    <row r="48" spans="1:8" ht="25" x14ac:dyDescent="0.35">
      <c r="A48" s="4" t="s">
        <v>65</v>
      </c>
      <c r="B48" s="4" t="s">
        <v>157</v>
      </c>
      <c r="C48" s="4" t="s">
        <v>164</v>
      </c>
      <c r="D48" s="4" t="s">
        <v>199</v>
      </c>
      <c r="E48" s="4" t="s">
        <v>202</v>
      </c>
      <c r="F48" s="5">
        <v>7.3129999999999997</v>
      </c>
      <c r="G48" s="5">
        <v>1440</v>
      </c>
      <c r="H48" s="4" t="s">
        <v>103</v>
      </c>
    </row>
    <row r="49" spans="1:8" ht="25" x14ac:dyDescent="0.35">
      <c r="A49" s="2" t="s">
        <v>65</v>
      </c>
      <c r="B49" s="2" t="s">
        <v>157</v>
      </c>
      <c r="C49" s="2" t="s">
        <v>164</v>
      </c>
      <c r="D49" s="2" t="s">
        <v>199</v>
      </c>
      <c r="E49" s="2" t="s">
        <v>203</v>
      </c>
      <c r="F49" s="6">
        <v>6.8869999999999996</v>
      </c>
      <c r="G49" s="6">
        <v>1440</v>
      </c>
      <c r="H49" s="2" t="s">
        <v>103</v>
      </c>
    </row>
    <row r="50" spans="1:8" ht="25" x14ac:dyDescent="0.35">
      <c r="A50" s="4" t="s">
        <v>65</v>
      </c>
      <c r="B50" s="4" t="s">
        <v>157</v>
      </c>
      <c r="C50" s="4" t="s">
        <v>164</v>
      </c>
      <c r="D50" s="4" t="s">
        <v>199</v>
      </c>
      <c r="E50" s="4" t="s">
        <v>204</v>
      </c>
      <c r="F50" s="5">
        <v>7.1</v>
      </c>
      <c r="G50" s="5">
        <v>1440</v>
      </c>
      <c r="H50" s="4" t="s">
        <v>103</v>
      </c>
    </row>
    <row r="51" spans="1:8" ht="25" x14ac:dyDescent="0.35">
      <c r="A51" s="2" t="s">
        <v>65</v>
      </c>
      <c r="B51" s="2" t="s">
        <v>157</v>
      </c>
      <c r="C51" s="2" t="s">
        <v>164</v>
      </c>
      <c r="D51" s="2" t="s">
        <v>199</v>
      </c>
      <c r="E51" s="2" t="s">
        <v>205</v>
      </c>
      <c r="F51" s="6">
        <v>7.3129999999999997</v>
      </c>
      <c r="G51" s="6">
        <v>1440</v>
      </c>
      <c r="H51" s="2" t="s">
        <v>103</v>
      </c>
    </row>
    <row r="52" spans="1:8" ht="25" x14ac:dyDescent="0.35">
      <c r="A52" s="4" t="s">
        <v>65</v>
      </c>
      <c r="B52" s="4" t="s">
        <v>157</v>
      </c>
      <c r="C52" s="4" t="s">
        <v>164</v>
      </c>
      <c r="D52" s="4" t="s">
        <v>199</v>
      </c>
      <c r="E52" s="4" t="s">
        <v>206</v>
      </c>
      <c r="F52" s="5">
        <v>6.8869999999999996</v>
      </c>
      <c r="G52" s="5">
        <v>1440</v>
      </c>
      <c r="H52" s="4" t="s">
        <v>103</v>
      </c>
    </row>
    <row r="53" spans="1:8" ht="25" x14ac:dyDescent="0.35">
      <c r="A53" s="2" t="s">
        <v>65</v>
      </c>
      <c r="B53" s="2" t="s">
        <v>157</v>
      </c>
      <c r="C53" s="2" t="s">
        <v>164</v>
      </c>
      <c r="D53" s="2" t="s">
        <v>207</v>
      </c>
      <c r="E53" s="2" t="s">
        <v>200</v>
      </c>
      <c r="F53" s="6">
        <v>67.900000000000006</v>
      </c>
      <c r="G53" s="6">
        <v>1440</v>
      </c>
      <c r="H53" s="2" t="s">
        <v>103</v>
      </c>
    </row>
    <row r="54" spans="1:8" ht="25" x14ac:dyDescent="0.35">
      <c r="A54" s="4" t="s">
        <v>65</v>
      </c>
      <c r="B54" s="4" t="s">
        <v>157</v>
      </c>
      <c r="C54" s="4" t="s">
        <v>164</v>
      </c>
      <c r="D54" s="4" t="s">
        <v>207</v>
      </c>
      <c r="E54" s="4" t="s">
        <v>201</v>
      </c>
      <c r="F54" s="5">
        <v>70</v>
      </c>
      <c r="G54" s="5">
        <v>1440</v>
      </c>
      <c r="H54" s="4" t="s">
        <v>103</v>
      </c>
    </row>
    <row r="55" spans="1:8" ht="25" x14ac:dyDescent="0.35">
      <c r="A55" s="2" t="s">
        <v>65</v>
      </c>
      <c r="B55" s="2" t="s">
        <v>157</v>
      </c>
      <c r="C55" s="2" t="s">
        <v>164</v>
      </c>
      <c r="D55" s="2" t="s">
        <v>207</v>
      </c>
      <c r="E55" s="2" t="s">
        <v>202</v>
      </c>
      <c r="F55" s="6">
        <v>72.099999999999994</v>
      </c>
      <c r="G55" s="6">
        <v>1440</v>
      </c>
      <c r="H55" s="2" t="s">
        <v>103</v>
      </c>
    </row>
    <row r="56" spans="1:8" ht="25" x14ac:dyDescent="0.35">
      <c r="A56" s="4" t="s">
        <v>65</v>
      </c>
      <c r="B56" s="4" t="s">
        <v>157</v>
      </c>
      <c r="C56" s="4" t="s">
        <v>164</v>
      </c>
      <c r="D56" s="4" t="s">
        <v>207</v>
      </c>
      <c r="E56" s="4" t="s">
        <v>203</v>
      </c>
      <c r="F56" s="5">
        <v>67.900000000000006</v>
      </c>
      <c r="G56" s="5">
        <v>1440</v>
      </c>
      <c r="H56" s="4" t="s">
        <v>103</v>
      </c>
    </row>
    <row r="57" spans="1:8" ht="25" x14ac:dyDescent="0.35">
      <c r="A57" s="2" t="s">
        <v>65</v>
      </c>
      <c r="B57" s="2" t="s">
        <v>157</v>
      </c>
      <c r="C57" s="2" t="s">
        <v>164</v>
      </c>
      <c r="D57" s="2" t="s">
        <v>207</v>
      </c>
      <c r="E57" s="2" t="s">
        <v>204</v>
      </c>
      <c r="F57" s="6">
        <v>70</v>
      </c>
      <c r="G57" s="6">
        <v>1440</v>
      </c>
      <c r="H57" s="2" t="s">
        <v>103</v>
      </c>
    </row>
    <row r="58" spans="1:8" ht="25" x14ac:dyDescent="0.35">
      <c r="A58" s="4" t="s">
        <v>65</v>
      </c>
      <c r="B58" s="4" t="s">
        <v>157</v>
      </c>
      <c r="C58" s="4" t="s">
        <v>164</v>
      </c>
      <c r="D58" s="4" t="s">
        <v>207</v>
      </c>
      <c r="E58" s="4" t="s">
        <v>205</v>
      </c>
      <c r="F58" s="5">
        <v>72.099999999999994</v>
      </c>
      <c r="G58" s="5">
        <v>1440</v>
      </c>
      <c r="H58" s="4" t="s">
        <v>103</v>
      </c>
    </row>
    <row r="59" spans="1:8" ht="25" x14ac:dyDescent="0.35">
      <c r="A59" s="2" t="s">
        <v>65</v>
      </c>
      <c r="B59" s="2" t="s">
        <v>157</v>
      </c>
      <c r="C59" s="2" t="s">
        <v>164</v>
      </c>
      <c r="D59" s="2" t="s">
        <v>207</v>
      </c>
      <c r="E59" s="2" t="s">
        <v>206</v>
      </c>
      <c r="F59" s="6">
        <v>67.900000000000006</v>
      </c>
      <c r="G59" s="6">
        <v>1440</v>
      </c>
      <c r="H59" s="2" t="s">
        <v>103</v>
      </c>
    </row>
    <row r="60" spans="1:8" ht="25" x14ac:dyDescent="0.35">
      <c r="A60" s="4" t="s">
        <v>65</v>
      </c>
      <c r="B60" s="4" t="s">
        <v>157</v>
      </c>
      <c r="C60" s="4" t="s">
        <v>164</v>
      </c>
      <c r="D60" s="4" t="s">
        <v>208</v>
      </c>
      <c r="E60" s="4" t="s">
        <v>200</v>
      </c>
      <c r="F60" s="5">
        <v>3.88</v>
      </c>
      <c r="G60" s="5">
        <v>1440</v>
      </c>
      <c r="H60" s="4" t="s">
        <v>103</v>
      </c>
    </row>
    <row r="61" spans="1:8" ht="25" x14ac:dyDescent="0.35">
      <c r="A61" s="2" t="s">
        <v>65</v>
      </c>
      <c r="B61" s="2" t="s">
        <v>157</v>
      </c>
      <c r="C61" s="2" t="s">
        <v>164</v>
      </c>
      <c r="D61" s="2" t="s">
        <v>208</v>
      </c>
      <c r="E61" s="2" t="s">
        <v>201</v>
      </c>
      <c r="F61" s="6">
        <v>4</v>
      </c>
      <c r="G61" s="6">
        <v>1440</v>
      </c>
      <c r="H61" s="2" t="s">
        <v>103</v>
      </c>
    </row>
    <row r="62" spans="1:8" ht="25" x14ac:dyDescent="0.35">
      <c r="A62" s="4" t="s">
        <v>65</v>
      </c>
      <c r="B62" s="4" t="s">
        <v>157</v>
      </c>
      <c r="C62" s="4" t="s">
        <v>164</v>
      </c>
      <c r="D62" s="4" t="s">
        <v>208</v>
      </c>
      <c r="E62" s="4" t="s">
        <v>202</v>
      </c>
      <c r="F62" s="5">
        <v>4.12</v>
      </c>
      <c r="G62" s="5">
        <v>1440</v>
      </c>
      <c r="H62" s="4" t="s">
        <v>103</v>
      </c>
    </row>
    <row r="63" spans="1:8" ht="25" x14ac:dyDescent="0.35">
      <c r="A63" s="2" t="s">
        <v>65</v>
      </c>
      <c r="B63" s="2" t="s">
        <v>157</v>
      </c>
      <c r="C63" s="2" t="s">
        <v>164</v>
      </c>
      <c r="D63" s="2" t="s">
        <v>208</v>
      </c>
      <c r="E63" s="2" t="s">
        <v>203</v>
      </c>
      <c r="F63" s="6">
        <v>3.88</v>
      </c>
      <c r="G63" s="6">
        <v>1440</v>
      </c>
      <c r="H63" s="2" t="s">
        <v>103</v>
      </c>
    </row>
    <row r="64" spans="1:8" ht="25" x14ac:dyDescent="0.35">
      <c r="A64" s="4" t="s">
        <v>65</v>
      </c>
      <c r="B64" s="4" t="s">
        <v>157</v>
      </c>
      <c r="C64" s="4" t="s">
        <v>164</v>
      </c>
      <c r="D64" s="4" t="s">
        <v>208</v>
      </c>
      <c r="E64" s="4" t="s">
        <v>204</v>
      </c>
      <c r="F64" s="5">
        <v>4</v>
      </c>
      <c r="G64" s="5">
        <v>1440</v>
      </c>
      <c r="H64" s="4" t="s">
        <v>103</v>
      </c>
    </row>
    <row r="65" spans="1:8" ht="25" x14ac:dyDescent="0.35">
      <c r="A65" s="2" t="s">
        <v>65</v>
      </c>
      <c r="B65" s="2" t="s">
        <v>157</v>
      </c>
      <c r="C65" s="2" t="s">
        <v>164</v>
      </c>
      <c r="D65" s="2" t="s">
        <v>208</v>
      </c>
      <c r="E65" s="2" t="s">
        <v>205</v>
      </c>
      <c r="F65" s="6">
        <v>4.12</v>
      </c>
      <c r="G65" s="6">
        <v>1440</v>
      </c>
      <c r="H65" s="2" t="s">
        <v>103</v>
      </c>
    </row>
    <row r="66" spans="1:8" ht="25" x14ac:dyDescent="0.35">
      <c r="A66" s="4" t="s">
        <v>65</v>
      </c>
      <c r="B66" s="4" t="s">
        <v>157</v>
      </c>
      <c r="C66" s="4" t="s">
        <v>164</v>
      </c>
      <c r="D66" s="4" t="s">
        <v>208</v>
      </c>
      <c r="E66" s="4" t="s">
        <v>206</v>
      </c>
      <c r="F66" s="5">
        <v>3.88</v>
      </c>
      <c r="G66" s="5">
        <v>1440</v>
      </c>
      <c r="H66" s="4" t="s">
        <v>103</v>
      </c>
    </row>
    <row r="67" spans="1:8" ht="25" x14ac:dyDescent="0.35">
      <c r="A67" s="2" t="s">
        <v>65</v>
      </c>
      <c r="B67" s="2" t="s">
        <v>157</v>
      </c>
      <c r="C67" s="2" t="s">
        <v>164</v>
      </c>
      <c r="D67" s="2" t="s">
        <v>209</v>
      </c>
      <c r="E67" s="2" t="s">
        <v>200</v>
      </c>
      <c r="F67" s="6">
        <v>5.82</v>
      </c>
      <c r="G67" s="6">
        <v>1440</v>
      </c>
      <c r="H67" s="2" t="s">
        <v>103</v>
      </c>
    </row>
    <row r="68" spans="1:8" ht="25" x14ac:dyDescent="0.35">
      <c r="A68" s="4" t="s">
        <v>65</v>
      </c>
      <c r="B68" s="4" t="s">
        <v>157</v>
      </c>
      <c r="C68" s="4" t="s">
        <v>164</v>
      </c>
      <c r="D68" s="4" t="s">
        <v>209</v>
      </c>
      <c r="E68" s="4" t="s">
        <v>201</v>
      </c>
      <c r="F68" s="5">
        <v>6</v>
      </c>
      <c r="G68" s="5">
        <v>1440</v>
      </c>
      <c r="H68" s="4" t="s">
        <v>103</v>
      </c>
    </row>
    <row r="69" spans="1:8" ht="25" x14ac:dyDescent="0.35">
      <c r="A69" s="2" t="s">
        <v>65</v>
      </c>
      <c r="B69" s="2" t="s">
        <v>157</v>
      </c>
      <c r="C69" s="2" t="s">
        <v>164</v>
      </c>
      <c r="D69" s="2" t="s">
        <v>209</v>
      </c>
      <c r="E69" s="2" t="s">
        <v>202</v>
      </c>
      <c r="F69" s="6">
        <v>6.18</v>
      </c>
      <c r="G69" s="6">
        <v>1440</v>
      </c>
      <c r="H69" s="2" t="s">
        <v>103</v>
      </c>
    </row>
    <row r="70" spans="1:8" ht="25" x14ac:dyDescent="0.35">
      <c r="A70" s="4" t="s">
        <v>65</v>
      </c>
      <c r="B70" s="4" t="s">
        <v>157</v>
      </c>
      <c r="C70" s="4" t="s">
        <v>164</v>
      </c>
      <c r="D70" s="4" t="s">
        <v>209</v>
      </c>
      <c r="E70" s="4" t="s">
        <v>203</v>
      </c>
      <c r="F70" s="5">
        <v>5.82</v>
      </c>
      <c r="G70" s="5">
        <v>1440</v>
      </c>
      <c r="H70" s="4" t="s">
        <v>103</v>
      </c>
    </row>
    <row r="71" spans="1:8" ht="25" x14ac:dyDescent="0.35">
      <c r="A71" s="2" t="s">
        <v>65</v>
      </c>
      <c r="B71" s="2" t="s">
        <v>157</v>
      </c>
      <c r="C71" s="2" t="s">
        <v>164</v>
      </c>
      <c r="D71" s="2" t="s">
        <v>209</v>
      </c>
      <c r="E71" s="2" t="s">
        <v>204</v>
      </c>
      <c r="F71" s="6">
        <v>6</v>
      </c>
      <c r="G71" s="6">
        <v>1440</v>
      </c>
      <c r="H71" s="2" t="s">
        <v>103</v>
      </c>
    </row>
    <row r="72" spans="1:8" ht="25" x14ac:dyDescent="0.35">
      <c r="A72" s="4" t="s">
        <v>65</v>
      </c>
      <c r="B72" s="4" t="s">
        <v>157</v>
      </c>
      <c r="C72" s="4" t="s">
        <v>164</v>
      </c>
      <c r="D72" s="4" t="s">
        <v>209</v>
      </c>
      <c r="E72" s="4" t="s">
        <v>205</v>
      </c>
      <c r="F72" s="5">
        <v>6.18</v>
      </c>
      <c r="G72" s="5">
        <v>1440</v>
      </c>
      <c r="H72" s="4" t="s">
        <v>103</v>
      </c>
    </row>
    <row r="73" spans="1:8" ht="25" x14ac:dyDescent="0.35">
      <c r="A73" s="2" t="s">
        <v>65</v>
      </c>
      <c r="B73" s="2" t="s">
        <v>157</v>
      </c>
      <c r="C73" s="2" t="s">
        <v>164</v>
      </c>
      <c r="D73" s="2" t="s">
        <v>209</v>
      </c>
      <c r="E73" s="2" t="s">
        <v>206</v>
      </c>
      <c r="F73" s="6">
        <v>5.82</v>
      </c>
      <c r="G73" s="6">
        <v>1440</v>
      </c>
      <c r="H73" s="2" t="s">
        <v>103</v>
      </c>
    </row>
    <row r="74" spans="1:8" ht="25" x14ac:dyDescent="0.35">
      <c r="A74" s="4" t="s">
        <v>65</v>
      </c>
      <c r="B74" s="4" t="s">
        <v>157</v>
      </c>
      <c r="C74" s="4" t="s">
        <v>164</v>
      </c>
      <c r="D74" s="4" t="s">
        <v>210</v>
      </c>
      <c r="E74" s="4" t="s">
        <v>200</v>
      </c>
      <c r="F74" s="5">
        <v>2.91</v>
      </c>
      <c r="G74" s="5">
        <v>1440</v>
      </c>
      <c r="H74" s="4" t="s">
        <v>103</v>
      </c>
    </row>
    <row r="75" spans="1:8" ht="25" x14ac:dyDescent="0.35">
      <c r="A75" s="2" t="s">
        <v>65</v>
      </c>
      <c r="B75" s="2" t="s">
        <v>157</v>
      </c>
      <c r="C75" s="2" t="s">
        <v>164</v>
      </c>
      <c r="D75" s="2" t="s">
        <v>210</v>
      </c>
      <c r="E75" s="2" t="s">
        <v>201</v>
      </c>
      <c r="F75" s="6">
        <v>3</v>
      </c>
      <c r="G75" s="6">
        <v>1440</v>
      </c>
      <c r="H75" s="2" t="s">
        <v>103</v>
      </c>
    </row>
    <row r="76" spans="1:8" ht="25" x14ac:dyDescent="0.35">
      <c r="A76" s="4" t="s">
        <v>65</v>
      </c>
      <c r="B76" s="4" t="s">
        <v>157</v>
      </c>
      <c r="C76" s="4" t="s">
        <v>164</v>
      </c>
      <c r="D76" s="4" t="s">
        <v>210</v>
      </c>
      <c r="E76" s="4" t="s">
        <v>202</v>
      </c>
      <c r="F76" s="5">
        <v>3.09</v>
      </c>
      <c r="G76" s="5">
        <v>1440</v>
      </c>
      <c r="H76" s="4" t="s">
        <v>103</v>
      </c>
    </row>
    <row r="77" spans="1:8" ht="25" x14ac:dyDescent="0.35">
      <c r="A77" s="2" t="s">
        <v>65</v>
      </c>
      <c r="B77" s="2" t="s">
        <v>157</v>
      </c>
      <c r="C77" s="2" t="s">
        <v>164</v>
      </c>
      <c r="D77" s="2" t="s">
        <v>210</v>
      </c>
      <c r="E77" s="2" t="s">
        <v>203</v>
      </c>
      <c r="F77" s="6">
        <v>2.91</v>
      </c>
      <c r="G77" s="6">
        <v>1440</v>
      </c>
      <c r="H77" s="2" t="s">
        <v>103</v>
      </c>
    </row>
    <row r="78" spans="1:8" ht="25" x14ac:dyDescent="0.35">
      <c r="A78" s="4" t="s">
        <v>65</v>
      </c>
      <c r="B78" s="4" t="s">
        <v>157</v>
      </c>
      <c r="C78" s="4" t="s">
        <v>164</v>
      </c>
      <c r="D78" s="4" t="s">
        <v>210</v>
      </c>
      <c r="E78" s="4" t="s">
        <v>204</v>
      </c>
      <c r="F78" s="5">
        <v>3</v>
      </c>
      <c r="G78" s="5">
        <v>1440</v>
      </c>
      <c r="H78" s="4" t="s">
        <v>103</v>
      </c>
    </row>
    <row r="79" spans="1:8" ht="25" x14ac:dyDescent="0.35">
      <c r="A79" s="2" t="s">
        <v>65</v>
      </c>
      <c r="B79" s="2" t="s">
        <v>157</v>
      </c>
      <c r="C79" s="2" t="s">
        <v>164</v>
      </c>
      <c r="D79" s="2" t="s">
        <v>210</v>
      </c>
      <c r="E79" s="2" t="s">
        <v>205</v>
      </c>
      <c r="F79" s="6">
        <v>3.09</v>
      </c>
      <c r="G79" s="6">
        <v>1440</v>
      </c>
      <c r="H79" s="2" t="s">
        <v>103</v>
      </c>
    </row>
    <row r="80" spans="1:8" ht="25" x14ac:dyDescent="0.35">
      <c r="A80" s="4" t="s">
        <v>65</v>
      </c>
      <c r="B80" s="4" t="s">
        <v>157</v>
      </c>
      <c r="C80" s="4" t="s">
        <v>164</v>
      </c>
      <c r="D80" s="4" t="s">
        <v>210</v>
      </c>
      <c r="E80" s="4" t="s">
        <v>206</v>
      </c>
      <c r="F80" s="5">
        <v>2.91</v>
      </c>
      <c r="G80" s="5">
        <v>1440</v>
      </c>
      <c r="H80" s="4" t="s">
        <v>103</v>
      </c>
    </row>
    <row r="81" spans="1:8" ht="25" x14ac:dyDescent="0.35">
      <c r="A81" s="2" t="s">
        <v>65</v>
      </c>
      <c r="B81" s="2" t="s">
        <v>157</v>
      </c>
      <c r="C81" s="2" t="s">
        <v>164</v>
      </c>
      <c r="D81" s="2" t="s">
        <v>211</v>
      </c>
      <c r="E81" s="2" t="s">
        <v>200</v>
      </c>
      <c r="F81" s="6">
        <v>1.94</v>
      </c>
      <c r="G81" s="6">
        <v>1440</v>
      </c>
      <c r="H81" s="2" t="s">
        <v>103</v>
      </c>
    </row>
    <row r="82" spans="1:8" ht="25" x14ac:dyDescent="0.35">
      <c r="A82" s="4" t="s">
        <v>65</v>
      </c>
      <c r="B82" s="4" t="s">
        <v>157</v>
      </c>
      <c r="C82" s="4" t="s">
        <v>164</v>
      </c>
      <c r="D82" s="4" t="s">
        <v>211</v>
      </c>
      <c r="E82" s="4" t="s">
        <v>201</v>
      </c>
      <c r="F82" s="5">
        <v>2</v>
      </c>
      <c r="G82" s="5">
        <v>1440</v>
      </c>
      <c r="H82" s="4" t="s">
        <v>103</v>
      </c>
    </row>
    <row r="83" spans="1:8" ht="25" x14ac:dyDescent="0.35">
      <c r="A83" s="2" t="s">
        <v>65</v>
      </c>
      <c r="B83" s="2" t="s">
        <v>157</v>
      </c>
      <c r="C83" s="2" t="s">
        <v>164</v>
      </c>
      <c r="D83" s="2" t="s">
        <v>211</v>
      </c>
      <c r="E83" s="2" t="s">
        <v>202</v>
      </c>
      <c r="F83" s="6">
        <v>2.06</v>
      </c>
      <c r="G83" s="6">
        <v>1440</v>
      </c>
      <c r="H83" s="2" t="s">
        <v>103</v>
      </c>
    </row>
    <row r="84" spans="1:8" ht="25" x14ac:dyDescent="0.35">
      <c r="A84" s="4" t="s">
        <v>65</v>
      </c>
      <c r="B84" s="4" t="s">
        <v>157</v>
      </c>
      <c r="C84" s="4" t="s">
        <v>164</v>
      </c>
      <c r="D84" s="4" t="s">
        <v>211</v>
      </c>
      <c r="E84" s="4" t="s">
        <v>203</v>
      </c>
      <c r="F84" s="5">
        <v>1.94</v>
      </c>
      <c r="G84" s="5">
        <v>1440</v>
      </c>
      <c r="H84" s="4" t="s">
        <v>103</v>
      </c>
    </row>
    <row r="85" spans="1:8" ht="25" x14ac:dyDescent="0.35">
      <c r="A85" s="2" t="s">
        <v>65</v>
      </c>
      <c r="B85" s="2" t="s">
        <v>157</v>
      </c>
      <c r="C85" s="2" t="s">
        <v>164</v>
      </c>
      <c r="D85" s="2" t="s">
        <v>211</v>
      </c>
      <c r="E85" s="2" t="s">
        <v>204</v>
      </c>
      <c r="F85" s="6">
        <v>2</v>
      </c>
      <c r="G85" s="6">
        <v>1440</v>
      </c>
      <c r="H85" s="2" t="s">
        <v>103</v>
      </c>
    </row>
    <row r="86" spans="1:8" ht="25" x14ac:dyDescent="0.35">
      <c r="A86" s="4" t="s">
        <v>65</v>
      </c>
      <c r="B86" s="4" t="s">
        <v>157</v>
      </c>
      <c r="C86" s="4" t="s">
        <v>164</v>
      </c>
      <c r="D86" s="4" t="s">
        <v>211</v>
      </c>
      <c r="E86" s="4" t="s">
        <v>205</v>
      </c>
      <c r="F86" s="5">
        <v>2.06</v>
      </c>
      <c r="G86" s="5">
        <v>1440</v>
      </c>
      <c r="H86" s="4" t="s">
        <v>103</v>
      </c>
    </row>
    <row r="87" spans="1:8" ht="25" x14ac:dyDescent="0.35">
      <c r="A87" s="2" t="s">
        <v>65</v>
      </c>
      <c r="B87" s="2" t="s">
        <v>157</v>
      </c>
      <c r="C87" s="2" t="s">
        <v>164</v>
      </c>
      <c r="D87" s="2" t="s">
        <v>211</v>
      </c>
      <c r="E87" s="2" t="s">
        <v>206</v>
      </c>
      <c r="F87" s="6">
        <v>1.94</v>
      </c>
      <c r="G87" s="6">
        <v>1440</v>
      </c>
      <c r="H87" s="2" t="s">
        <v>103</v>
      </c>
    </row>
    <row r="88" spans="1:8" ht="25" x14ac:dyDescent="0.35">
      <c r="A88" s="4" t="s">
        <v>65</v>
      </c>
      <c r="B88" s="4" t="s">
        <v>157</v>
      </c>
      <c r="C88" s="4" t="s">
        <v>165</v>
      </c>
      <c r="D88" s="4" t="s">
        <v>199</v>
      </c>
      <c r="E88" s="4" t="s">
        <v>200</v>
      </c>
      <c r="F88" s="5">
        <v>6.0140000000000002</v>
      </c>
      <c r="G88" s="5">
        <v>1440</v>
      </c>
      <c r="H88" s="4" t="s">
        <v>104</v>
      </c>
    </row>
    <row r="89" spans="1:8" ht="25" x14ac:dyDescent="0.35">
      <c r="A89" s="2" t="s">
        <v>65</v>
      </c>
      <c r="B89" s="2" t="s">
        <v>157</v>
      </c>
      <c r="C89" s="2" t="s">
        <v>165</v>
      </c>
      <c r="D89" s="2" t="s">
        <v>199</v>
      </c>
      <c r="E89" s="2" t="s">
        <v>201</v>
      </c>
      <c r="F89" s="6">
        <v>6.2</v>
      </c>
      <c r="G89" s="6">
        <v>1440</v>
      </c>
      <c r="H89" s="2" t="s">
        <v>104</v>
      </c>
    </row>
    <row r="90" spans="1:8" ht="25" x14ac:dyDescent="0.35">
      <c r="A90" s="4" t="s">
        <v>65</v>
      </c>
      <c r="B90" s="4" t="s">
        <v>157</v>
      </c>
      <c r="C90" s="4" t="s">
        <v>165</v>
      </c>
      <c r="D90" s="4" t="s">
        <v>199</v>
      </c>
      <c r="E90" s="4" t="s">
        <v>202</v>
      </c>
      <c r="F90" s="5">
        <v>6.3860000000000001</v>
      </c>
      <c r="G90" s="5">
        <v>1440</v>
      </c>
      <c r="H90" s="4" t="s">
        <v>104</v>
      </c>
    </row>
    <row r="91" spans="1:8" ht="25" x14ac:dyDescent="0.35">
      <c r="A91" s="2" t="s">
        <v>65</v>
      </c>
      <c r="B91" s="2" t="s">
        <v>157</v>
      </c>
      <c r="C91" s="2" t="s">
        <v>165</v>
      </c>
      <c r="D91" s="2" t="s">
        <v>199</v>
      </c>
      <c r="E91" s="2" t="s">
        <v>203</v>
      </c>
      <c r="F91" s="6">
        <v>6.0140000000000002</v>
      </c>
      <c r="G91" s="6">
        <v>1440</v>
      </c>
      <c r="H91" s="2" t="s">
        <v>104</v>
      </c>
    </row>
    <row r="92" spans="1:8" ht="25" x14ac:dyDescent="0.35">
      <c r="A92" s="4" t="s">
        <v>65</v>
      </c>
      <c r="B92" s="4" t="s">
        <v>157</v>
      </c>
      <c r="C92" s="4" t="s">
        <v>165</v>
      </c>
      <c r="D92" s="4" t="s">
        <v>199</v>
      </c>
      <c r="E92" s="4" t="s">
        <v>204</v>
      </c>
      <c r="F92" s="5">
        <v>6.2</v>
      </c>
      <c r="G92" s="5">
        <v>1440</v>
      </c>
      <c r="H92" s="4" t="s">
        <v>104</v>
      </c>
    </row>
    <row r="93" spans="1:8" ht="25" x14ac:dyDescent="0.35">
      <c r="A93" s="2" t="s">
        <v>65</v>
      </c>
      <c r="B93" s="2" t="s">
        <v>157</v>
      </c>
      <c r="C93" s="2" t="s">
        <v>165</v>
      </c>
      <c r="D93" s="2" t="s">
        <v>199</v>
      </c>
      <c r="E93" s="2" t="s">
        <v>205</v>
      </c>
      <c r="F93" s="6">
        <v>6.3860000000000001</v>
      </c>
      <c r="G93" s="6">
        <v>1440</v>
      </c>
      <c r="H93" s="2" t="s">
        <v>104</v>
      </c>
    </row>
    <row r="94" spans="1:8" ht="25" x14ac:dyDescent="0.35">
      <c r="A94" s="4" t="s">
        <v>65</v>
      </c>
      <c r="B94" s="4" t="s">
        <v>157</v>
      </c>
      <c r="C94" s="4" t="s">
        <v>165</v>
      </c>
      <c r="D94" s="4" t="s">
        <v>199</v>
      </c>
      <c r="E94" s="4" t="s">
        <v>206</v>
      </c>
      <c r="F94" s="5">
        <v>6.0140000000000002</v>
      </c>
      <c r="G94" s="5">
        <v>1440</v>
      </c>
      <c r="H94" s="4" t="s">
        <v>104</v>
      </c>
    </row>
    <row r="95" spans="1:8" ht="25" x14ac:dyDescent="0.35">
      <c r="A95" s="2" t="s">
        <v>65</v>
      </c>
      <c r="B95" s="2" t="s">
        <v>157</v>
      </c>
      <c r="C95" s="2" t="s">
        <v>165</v>
      </c>
      <c r="D95" s="2" t="s">
        <v>207</v>
      </c>
      <c r="E95" s="2" t="s">
        <v>200</v>
      </c>
      <c r="F95" s="6">
        <v>68.87</v>
      </c>
      <c r="G95" s="6">
        <v>1440</v>
      </c>
      <c r="H95" s="2" t="s">
        <v>104</v>
      </c>
    </row>
    <row r="96" spans="1:8" ht="25" x14ac:dyDescent="0.35">
      <c r="A96" s="4" t="s">
        <v>65</v>
      </c>
      <c r="B96" s="4" t="s">
        <v>157</v>
      </c>
      <c r="C96" s="4" t="s">
        <v>165</v>
      </c>
      <c r="D96" s="4" t="s">
        <v>207</v>
      </c>
      <c r="E96" s="4" t="s">
        <v>201</v>
      </c>
      <c r="F96" s="5">
        <v>71</v>
      </c>
      <c r="G96" s="5">
        <v>1440</v>
      </c>
      <c r="H96" s="4" t="s">
        <v>104</v>
      </c>
    </row>
    <row r="97" spans="1:8" ht="25" x14ac:dyDescent="0.35">
      <c r="A97" s="2" t="s">
        <v>65</v>
      </c>
      <c r="B97" s="2" t="s">
        <v>157</v>
      </c>
      <c r="C97" s="2" t="s">
        <v>165</v>
      </c>
      <c r="D97" s="2" t="s">
        <v>207</v>
      </c>
      <c r="E97" s="2" t="s">
        <v>202</v>
      </c>
      <c r="F97" s="6">
        <v>73.13</v>
      </c>
      <c r="G97" s="6">
        <v>1440</v>
      </c>
      <c r="H97" s="2" t="s">
        <v>104</v>
      </c>
    </row>
    <row r="98" spans="1:8" ht="25" x14ac:dyDescent="0.35">
      <c r="A98" s="4" t="s">
        <v>65</v>
      </c>
      <c r="B98" s="4" t="s">
        <v>157</v>
      </c>
      <c r="C98" s="4" t="s">
        <v>165</v>
      </c>
      <c r="D98" s="4" t="s">
        <v>207</v>
      </c>
      <c r="E98" s="4" t="s">
        <v>203</v>
      </c>
      <c r="F98" s="5">
        <v>68.87</v>
      </c>
      <c r="G98" s="5">
        <v>1440</v>
      </c>
      <c r="H98" s="4" t="s">
        <v>104</v>
      </c>
    </row>
    <row r="99" spans="1:8" ht="25" x14ac:dyDescent="0.35">
      <c r="A99" s="2" t="s">
        <v>65</v>
      </c>
      <c r="B99" s="2" t="s">
        <v>157</v>
      </c>
      <c r="C99" s="2" t="s">
        <v>165</v>
      </c>
      <c r="D99" s="2" t="s">
        <v>207</v>
      </c>
      <c r="E99" s="2" t="s">
        <v>204</v>
      </c>
      <c r="F99" s="6">
        <v>71</v>
      </c>
      <c r="G99" s="6">
        <v>1440</v>
      </c>
      <c r="H99" s="2" t="s">
        <v>104</v>
      </c>
    </row>
    <row r="100" spans="1:8" ht="25" x14ac:dyDescent="0.35">
      <c r="A100" s="4" t="s">
        <v>65</v>
      </c>
      <c r="B100" s="4" t="s">
        <v>157</v>
      </c>
      <c r="C100" s="4" t="s">
        <v>165</v>
      </c>
      <c r="D100" s="4" t="s">
        <v>207</v>
      </c>
      <c r="E100" s="4" t="s">
        <v>205</v>
      </c>
      <c r="F100" s="5">
        <v>73.13</v>
      </c>
      <c r="G100" s="5">
        <v>1440</v>
      </c>
      <c r="H100" s="4" t="s">
        <v>104</v>
      </c>
    </row>
    <row r="101" spans="1:8" ht="25" x14ac:dyDescent="0.35">
      <c r="A101" s="2" t="s">
        <v>65</v>
      </c>
      <c r="B101" s="2" t="s">
        <v>157</v>
      </c>
      <c r="C101" s="2" t="s">
        <v>165</v>
      </c>
      <c r="D101" s="2" t="s">
        <v>207</v>
      </c>
      <c r="E101" s="2" t="s">
        <v>206</v>
      </c>
      <c r="F101" s="6">
        <v>68.87</v>
      </c>
      <c r="G101" s="6">
        <v>1440</v>
      </c>
      <c r="H101" s="2" t="s">
        <v>104</v>
      </c>
    </row>
    <row r="102" spans="1:8" ht="25" x14ac:dyDescent="0.35">
      <c r="A102" s="4" t="s">
        <v>65</v>
      </c>
      <c r="B102" s="4" t="s">
        <v>157</v>
      </c>
      <c r="C102" s="4" t="s">
        <v>165</v>
      </c>
      <c r="D102" s="4" t="s">
        <v>208</v>
      </c>
      <c r="E102" s="4" t="s">
        <v>200</v>
      </c>
      <c r="F102" s="5">
        <v>3.88</v>
      </c>
      <c r="G102" s="5">
        <v>1440</v>
      </c>
      <c r="H102" s="4" t="s">
        <v>104</v>
      </c>
    </row>
    <row r="103" spans="1:8" ht="25" x14ac:dyDescent="0.35">
      <c r="A103" s="2" t="s">
        <v>65</v>
      </c>
      <c r="B103" s="2" t="s">
        <v>157</v>
      </c>
      <c r="C103" s="2" t="s">
        <v>165</v>
      </c>
      <c r="D103" s="2" t="s">
        <v>208</v>
      </c>
      <c r="E103" s="2" t="s">
        <v>201</v>
      </c>
      <c r="F103" s="6">
        <v>4</v>
      </c>
      <c r="G103" s="6">
        <v>1440</v>
      </c>
      <c r="H103" s="2" t="s">
        <v>104</v>
      </c>
    </row>
    <row r="104" spans="1:8" ht="25" x14ac:dyDescent="0.35">
      <c r="A104" s="4" t="s">
        <v>65</v>
      </c>
      <c r="B104" s="4" t="s">
        <v>157</v>
      </c>
      <c r="C104" s="4" t="s">
        <v>165</v>
      </c>
      <c r="D104" s="4" t="s">
        <v>208</v>
      </c>
      <c r="E104" s="4" t="s">
        <v>202</v>
      </c>
      <c r="F104" s="5">
        <v>4.12</v>
      </c>
      <c r="G104" s="5">
        <v>1440</v>
      </c>
      <c r="H104" s="4" t="s">
        <v>104</v>
      </c>
    </row>
    <row r="105" spans="1:8" ht="25" x14ac:dyDescent="0.35">
      <c r="A105" s="2" t="s">
        <v>65</v>
      </c>
      <c r="B105" s="2" t="s">
        <v>157</v>
      </c>
      <c r="C105" s="2" t="s">
        <v>165</v>
      </c>
      <c r="D105" s="2" t="s">
        <v>208</v>
      </c>
      <c r="E105" s="2" t="s">
        <v>203</v>
      </c>
      <c r="F105" s="6">
        <v>3.88</v>
      </c>
      <c r="G105" s="6">
        <v>1440</v>
      </c>
      <c r="H105" s="2" t="s">
        <v>104</v>
      </c>
    </row>
    <row r="106" spans="1:8" ht="25" x14ac:dyDescent="0.35">
      <c r="A106" s="4" t="s">
        <v>65</v>
      </c>
      <c r="B106" s="4" t="s">
        <v>157</v>
      </c>
      <c r="C106" s="4" t="s">
        <v>165</v>
      </c>
      <c r="D106" s="4" t="s">
        <v>208</v>
      </c>
      <c r="E106" s="4" t="s">
        <v>204</v>
      </c>
      <c r="F106" s="5">
        <v>4</v>
      </c>
      <c r="G106" s="5">
        <v>1440</v>
      </c>
      <c r="H106" s="4" t="s">
        <v>104</v>
      </c>
    </row>
    <row r="107" spans="1:8" ht="25" x14ac:dyDescent="0.35">
      <c r="A107" s="2" t="s">
        <v>65</v>
      </c>
      <c r="B107" s="2" t="s">
        <v>157</v>
      </c>
      <c r="C107" s="2" t="s">
        <v>165</v>
      </c>
      <c r="D107" s="2" t="s">
        <v>208</v>
      </c>
      <c r="E107" s="2" t="s">
        <v>205</v>
      </c>
      <c r="F107" s="6">
        <v>4.12</v>
      </c>
      <c r="G107" s="6">
        <v>1440</v>
      </c>
      <c r="H107" s="2" t="s">
        <v>104</v>
      </c>
    </row>
    <row r="108" spans="1:8" ht="25" x14ac:dyDescent="0.35">
      <c r="A108" s="4" t="s">
        <v>65</v>
      </c>
      <c r="B108" s="4" t="s">
        <v>157</v>
      </c>
      <c r="C108" s="4" t="s">
        <v>165</v>
      </c>
      <c r="D108" s="4" t="s">
        <v>208</v>
      </c>
      <c r="E108" s="4" t="s">
        <v>206</v>
      </c>
      <c r="F108" s="5">
        <v>3.88</v>
      </c>
      <c r="G108" s="5">
        <v>1440</v>
      </c>
      <c r="H108" s="4" t="s">
        <v>104</v>
      </c>
    </row>
    <row r="109" spans="1:8" ht="25" x14ac:dyDescent="0.35">
      <c r="A109" s="2" t="s">
        <v>65</v>
      </c>
      <c r="B109" s="2" t="s">
        <v>157</v>
      </c>
      <c r="C109" s="2" t="s">
        <v>165</v>
      </c>
      <c r="D109" s="2" t="s">
        <v>209</v>
      </c>
      <c r="E109" s="2" t="s">
        <v>200</v>
      </c>
      <c r="F109" s="6">
        <v>4.8499999999999996</v>
      </c>
      <c r="G109" s="6">
        <v>1440</v>
      </c>
      <c r="H109" s="2" t="s">
        <v>104</v>
      </c>
    </row>
    <row r="110" spans="1:8" ht="25" x14ac:dyDescent="0.35">
      <c r="A110" s="4" t="s">
        <v>65</v>
      </c>
      <c r="B110" s="4" t="s">
        <v>157</v>
      </c>
      <c r="C110" s="4" t="s">
        <v>165</v>
      </c>
      <c r="D110" s="4" t="s">
        <v>209</v>
      </c>
      <c r="E110" s="4" t="s">
        <v>201</v>
      </c>
      <c r="F110" s="5">
        <v>5</v>
      </c>
      <c r="G110" s="5">
        <v>1440</v>
      </c>
      <c r="H110" s="4" t="s">
        <v>104</v>
      </c>
    </row>
    <row r="111" spans="1:8" ht="25" x14ac:dyDescent="0.35">
      <c r="A111" s="2" t="s">
        <v>65</v>
      </c>
      <c r="B111" s="2" t="s">
        <v>157</v>
      </c>
      <c r="C111" s="2" t="s">
        <v>165</v>
      </c>
      <c r="D111" s="2" t="s">
        <v>209</v>
      </c>
      <c r="E111" s="2" t="s">
        <v>202</v>
      </c>
      <c r="F111" s="6">
        <v>5.15</v>
      </c>
      <c r="G111" s="6">
        <v>1440</v>
      </c>
      <c r="H111" s="2" t="s">
        <v>104</v>
      </c>
    </row>
    <row r="112" spans="1:8" ht="25" x14ac:dyDescent="0.35">
      <c r="A112" s="4" t="s">
        <v>65</v>
      </c>
      <c r="B112" s="4" t="s">
        <v>157</v>
      </c>
      <c r="C112" s="4" t="s">
        <v>165</v>
      </c>
      <c r="D112" s="4" t="s">
        <v>209</v>
      </c>
      <c r="E112" s="4" t="s">
        <v>203</v>
      </c>
      <c r="F112" s="5">
        <v>4.8499999999999996</v>
      </c>
      <c r="G112" s="5">
        <v>1440</v>
      </c>
      <c r="H112" s="4" t="s">
        <v>104</v>
      </c>
    </row>
    <row r="113" spans="1:8" ht="25" x14ac:dyDescent="0.35">
      <c r="A113" s="2" t="s">
        <v>65</v>
      </c>
      <c r="B113" s="2" t="s">
        <v>157</v>
      </c>
      <c r="C113" s="2" t="s">
        <v>165</v>
      </c>
      <c r="D113" s="2" t="s">
        <v>209</v>
      </c>
      <c r="E113" s="2" t="s">
        <v>204</v>
      </c>
      <c r="F113" s="6">
        <v>5</v>
      </c>
      <c r="G113" s="6">
        <v>1440</v>
      </c>
      <c r="H113" s="2" t="s">
        <v>104</v>
      </c>
    </row>
    <row r="114" spans="1:8" ht="25" x14ac:dyDescent="0.35">
      <c r="A114" s="4" t="s">
        <v>65</v>
      </c>
      <c r="B114" s="4" t="s">
        <v>157</v>
      </c>
      <c r="C114" s="4" t="s">
        <v>165</v>
      </c>
      <c r="D114" s="4" t="s">
        <v>209</v>
      </c>
      <c r="E114" s="4" t="s">
        <v>205</v>
      </c>
      <c r="F114" s="5">
        <v>5.15</v>
      </c>
      <c r="G114" s="5">
        <v>1440</v>
      </c>
      <c r="H114" s="4" t="s">
        <v>104</v>
      </c>
    </row>
    <row r="115" spans="1:8" ht="25" x14ac:dyDescent="0.35">
      <c r="A115" s="2" t="s">
        <v>65</v>
      </c>
      <c r="B115" s="2" t="s">
        <v>157</v>
      </c>
      <c r="C115" s="2" t="s">
        <v>165</v>
      </c>
      <c r="D115" s="2" t="s">
        <v>209</v>
      </c>
      <c r="E115" s="2" t="s">
        <v>206</v>
      </c>
      <c r="F115" s="6">
        <v>4.8499999999999996</v>
      </c>
      <c r="G115" s="6">
        <v>1440</v>
      </c>
      <c r="H115" s="2" t="s">
        <v>104</v>
      </c>
    </row>
    <row r="116" spans="1:8" ht="25" x14ac:dyDescent="0.35">
      <c r="A116" s="4" t="s">
        <v>65</v>
      </c>
      <c r="B116" s="4" t="s">
        <v>157</v>
      </c>
      <c r="C116" s="4" t="s">
        <v>165</v>
      </c>
      <c r="D116" s="4" t="s">
        <v>210</v>
      </c>
      <c r="E116" s="4" t="s">
        <v>200</v>
      </c>
      <c r="F116" s="5">
        <v>2.91</v>
      </c>
      <c r="G116" s="5">
        <v>1440</v>
      </c>
      <c r="H116" s="4" t="s">
        <v>104</v>
      </c>
    </row>
    <row r="117" spans="1:8" ht="25" x14ac:dyDescent="0.35">
      <c r="A117" s="2" t="s">
        <v>65</v>
      </c>
      <c r="B117" s="2" t="s">
        <v>157</v>
      </c>
      <c r="C117" s="2" t="s">
        <v>165</v>
      </c>
      <c r="D117" s="2" t="s">
        <v>210</v>
      </c>
      <c r="E117" s="2" t="s">
        <v>201</v>
      </c>
      <c r="F117" s="6">
        <v>3</v>
      </c>
      <c r="G117" s="6">
        <v>1440</v>
      </c>
      <c r="H117" s="2" t="s">
        <v>104</v>
      </c>
    </row>
    <row r="118" spans="1:8" ht="25" x14ac:dyDescent="0.35">
      <c r="A118" s="4" t="s">
        <v>65</v>
      </c>
      <c r="B118" s="4" t="s">
        <v>157</v>
      </c>
      <c r="C118" s="4" t="s">
        <v>165</v>
      </c>
      <c r="D118" s="4" t="s">
        <v>210</v>
      </c>
      <c r="E118" s="4" t="s">
        <v>202</v>
      </c>
      <c r="F118" s="5">
        <v>3.09</v>
      </c>
      <c r="G118" s="5">
        <v>1440</v>
      </c>
      <c r="H118" s="4" t="s">
        <v>104</v>
      </c>
    </row>
    <row r="119" spans="1:8" ht="25" x14ac:dyDescent="0.35">
      <c r="A119" s="2" t="s">
        <v>65</v>
      </c>
      <c r="B119" s="2" t="s">
        <v>157</v>
      </c>
      <c r="C119" s="2" t="s">
        <v>165</v>
      </c>
      <c r="D119" s="2" t="s">
        <v>210</v>
      </c>
      <c r="E119" s="2" t="s">
        <v>203</v>
      </c>
      <c r="F119" s="6">
        <v>2.91</v>
      </c>
      <c r="G119" s="6">
        <v>1440</v>
      </c>
      <c r="H119" s="2" t="s">
        <v>104</v>
      </c>
    </row>
    <row r="120" spans="1:8" ht="25" x14ac:dyDescent="0.35">
      <c r="A120" s="4" t="s">
        <v>65</v>
      </c>
      <c r="B120" s="4" t="s">
        <v>157</v>
      </c>
      <c r="C120" s="4" t="s">
        <v>165</v>
      </c>
      <c r="D120" s="4" t="s">
        <v>210</v>
      </c>
      <c r="E120" s="4" t="s">
        <v>204</v>
      </c>
      <c r="F120" s="5">
        <v>3</v>
      </c>
      <c r="G120" s="5">
        <v>1440</v>
      </c>
      <c r="H120" s="4" t="s">
        <v>104</v>
      </c>
    </row>
    <row r="121" spans="1:8" ht="25" x14ac:dyDescent="0.35">
      <c r="A121" s="2" t="s">
        <v>65</v>
      </c>
      <c r="B121" s="2" t="s">
        <v>157</v>
      </c>
      <c r="C121" s="2" t="s">
        <v>165</v>
      </c>
      <c r="D121" s="2" t="s">
        <v>210</v>
      </c>
      <c r="E121" s="2" t="s">
        <v>205</v>
      </c>
      <c r="F121" s="6">
        <v>3.09</v>
      </c>
      <c r="G121" s="6">
        <v>1440</v>
      </c>
      <c r="H121" s="2" t="s">
        <v>104</v>
      </c>
    </row>
    <row r="122" spans="1:8" ht="25" x14ac:dyDescent="0.35">
      <c r="A122" s="4" t="s">
        <v>65</v>
      </c>
      <c r="B122" s="4" t="s">
        <v>157</v>
      </c>
      <c r="C122" s="4" t="s">
        <v>165</v>
      </c>
      <c r="D122" s="4" t="s">
        <v>210</v>
      </c>
      <c r="E122" s="4" t="s">
        <v>206</v>
      </c>
      <c r="F122" s="5">
        <v>2.91</v>
      </c>
      <c r="G122" s="5">
        <v>1440</v>
      </c>
      <c r="H122" s="4" t="s">
        <v>104</v>
      </c>
    </row>
    <row r="123" spans="1:8" ht="25" x14ac:dyDescent="0.35">
      <c r="A123" s="2" t="s">
        <v>65</v>
      </c>
      <c r="B123" s="2" t="s">
        <v>157</v>
      </c>
      <c r="C123" s="2" t="s">
        <v>165</v>
      </c>
      <c r="D123" s="2" t="s">
        <v>211</v>
      </c>
      <c r="E123" s="2" t="s">
        <v>200</v>
      </c>
      <c r="F123" s="6">
        <v>1.94</v>
      </c>
      <c r="G123" s="6">
        <v>1440</v>
      </c>
      <c r="H123" s="2" t="s">
        <v>104</v>
      </c>
    </row>
    <row r="124" spans="1:8" ht="25" x14ac:dyDescent="0.35">
      <c r="A124" s="4" t="s">
        <v>65</v>
      </c>
      <c r="B124" s="4" t="s">
        <v>157</v>
      </c>
      <c r="C124" s="4" t="s">
        <v>165</v>
      </c>
      <c r="D124" s="4" t="s">
        <v>211</v>
      </c>
      <c r="E124" s="4" t="s">
        <v>201</v>
      </c>
      <c r="F124" s="5">
        <v>2</v>
      </c>
      <c r="G124" s="5">
        <v>1440</v>
      </c>
      <c r="H124" s="4" t="s">
        <v>104</v>
      </c>
    </row>
    <row r="125" spans="1:8" ht="25" x14ac:dyDescent="0.35">
      <c r="A125" s="2" t="s">
        <v>65</v>
      </c>
      <c r="B125" s="2" t="s">
        <v>157</v>
      </c>
      <c r="C125" s="2" t="s">
        <v>165</v>
      </c>
      <c r="D125" s="2" t="s">
        <v>211</v>
      </c>
      <c r="E125" s="2" t="s">
        <v>202</v>
      </c>
      <c r="F125" s="6">
        <v>2.06</v>
      </c>
      <c r="G125" s="6">
        <v>1440</v>
      </c>
      <c r="H125" s="2" t="s">
        <v>104</v>
      </c>
    </row>
    <row r="126" spans="1:8" ht="25" x14ac:dyDescent="0.35">
      <c r="A126" s="4" t="s">
        <v>65</v>
      </c>
      <c r="B126" s="4" t="s">
        <v>157</v>
      </c>
      <c r="C126" s="4" t="s">
        <v>165</v>
      </c>
      <c r="D126" s="4" t="s">
        <v>211</v>
      </c>
      <c r="E126" s="4" t="s">
        <v>203</v>
      </c>
      <c r="F126" s="5">
        <v>1.94</v>
      </c>
      <c r="G126" s="5">
        <v>1440</v>
      </c>
      <c r="H126" s="4" t="s">
        <v>104</v>
      </c>
    </row>
    <row r="127" spans="1:8" ht="25" x14ac:dyDescent="0.35">
      <c r="A127" s="2" t="s">
        <v>65</v>
      </c>
      <c r="B127" s="2" t="s">
        <v>157</v>
      </c>
      <c r="C127" s="2" t="s">
        <v>165</v>
      </c>
      <c r="D127" s="2" t="s">
        <v>211</v>
      </c>
      <c r="E127" s="2" t="s">
        <v>204</v>
      </c>
      <c r="F127" s="6">
        <v>2</v>
      </c>
      <c r="G127" s="6">
        <v>1440</v>
      </c>
      <c r="H127" s="2" t="s">
        <v>104</v>
      </c>
    </row>
    <row r="128" spans="1:8" ht="25" x14ac:dyDescent="0.35">
      <c r="A128" s="4" t="s">
        <v>65</v>
      </c>
      <c r="B128" s="4" t="s">
        <v>157</v>
      </c>
      <c r="C128" s="4" t="s">
        <v>165</v>
      </c>
      <c r="D128" s="4" t="s">
        <v>211</v>
      </c>
      <c r="E128" s="4" t="s">
        <v>205</v>
      </c>
      <c r="F128" s="5">
        <v>2.06</v>
      </c>
      <c r="G128" s="5">
        <v>1440</v>
      </c>
      <c r="H128" s="4" t="s">
        <v>104</v>
      </c>
    </row>
    <row r="129" spans="1:8" ht="25" x14ac:dyDescent="0.35">
      <c r="A129" s="2" t="s">
        <v>65</v>
      </c>
      <c r="B129" s="2" t="s">
        <v>157</v>
      </c>
      <c r="C129" s="2" t="s">
        <v>165</v>
      </c>
      <c r="D129" s="2" t="s">
        <v>211</v>
      </c>
      <c r="E129" s="2" t="s">
        <v>206</v>
      </c>
      <c r="F129" s="6">
        <v>1.94</v>
      </c>
      <c r="G129" s="6">
        <v>1440</v>
      </c>
      <c r="H129" s="2" t="s">
        <v>104</v>
      </c>
    </row>
    <row r="130" spans="1:8" ht="25" x14ac:dyDescent="0.35">
      <c r="A130" s="4" t="s">
        <v>65</v>
      </c>
      <c r="B130" s="4" t="s">
        <v>157</v>
      </c>
      <c r="C130" s="4" t="s">
        <v>167</v>
      </c>
      <c r="D130" s="4" t="s">
        <v>199</v>
      </c>
      <c r="E130" s="4" t="s">
        <v>200</v>
      </c>
      <c r="F130" s="5">
        <v>5.6260000000000003</v>
      </c>
      <c r="G130" s="5">
        <v>1440</v>
      </c>
      <c r="H130" s="4" t="s">
        <v>105</v>
      </c>
    </row>
    <row r="131" spans="1:8" ht="25" x14ac:dyDescent="0.35">
      <c r="A131" s="2" t="s">
        <v>65</v>
      </c>
      <c r="B131" s="2" t="s">
        <v>157</v>
      </c>
      <c r="C131" s="2" t="s">
        <v>167</v>
      </c>
      <c r="D131" s="2" t="s">
        <v>199</v>
      </c>
      <c r="E131" s="2" t="s">
        <v>201</v>
      </c>
      <c r="F131" s="6">
        <v>5.8</v>
      </c>
      <c r="G131" s="6">
        <v>1440</v>
      </c>
      <c r="H131" s="2" t="s">
        <v>105</v>
      </c>
    </row>
    <row r="132" spans="1:8" ht="25" x14ac:dyDescent="0.35">
      <c r="A132" s="4" t="s">
        <v>65</v>
      </c>
      <c r="B132" s="4" t="s">
        <v>157</v>
      </c>
      <c r="C132" s="4" t="s">
        <v>167</v>
      </c>
      <c r="D132" s="4" t="s">
        <v>199</v>
      </c>
      <c r="E132" s="4" t="s">
        <v>202</v>
      </c>
      <c r="F132" s="5">
        <v>5.9740000000000002</v>
      </c>
      <c r="G132" s="5">
        <v>1440</v>
      </c>
      <c r="H132" s="4" t="s">
        <v>105</v>
      </c>
    </row>
    <row r="133" spans="1:8" ht="25" x14ac:dyDescent="0.35">
      <c r="A133" s="2" t="s">
        <v>65</v>
      </c>
      <c r="B133" s="2" t="s">
        <v>157</v>
      </c>
      <c r="C133" s="2" t="s">
        <v>167</v>
      </c>
      <c r="D133" s="2" t="s">
        <v>199</v>
      </c>
      <c r="E133" s="2" t="s">
        <v>203</v>
      </c>
      <c r="F133" s="6">
        <v>5.6260000000000003</v>
      </c>
      <c r="G133" s="6">
        <v>1440</v>
      </c>
      <c r="H133" s="2" t="s">
        <v>105</v>
      </c>
    </row>
    <row r="134" spans="1:8" ht="25" x14ac:dyDescent="0.35">
      <c r="A134" s="4" t="s">
        <v>65</v>
      </c>
      <c r="B134" s="4" t="s">
        <v>157</v>
      </c>
      <c r="C134" s="4" t="s">
        <v>167</v>
      </c>
      <c r="D134" s="4" t="s">
        <v>199</v>
      </c>
      <c r="E134" s="4" t="s">
        <v>204</v>
      </c>
      <c r="F134" s="5">
        <v>5.8</v>
      </c>
      <c r="G134" s="5">
        <v>1440</v>
      </c>
      <c r="H134" s="4" t="s">
        <v>105</v>
      </c>
    </row>
    <row r="135" spans="1:8" ht="25" x14ac:dyDescent="0.35">
      <c r="A135" s="2" t="s">
        <v>65</v>
      </c>
      <c r="B135" s="2" t="s">
        <v>157</v>
      </c>
      <c r="C135" s="2" t="s">
        <v>167</v>
      </c>
      <c r="D135" s="2" t="s">
        <v>199</v>
      </c>
      <c r="E135" s="2" t="s">
        <v>205</v>
      </c>
      <c r="F135" s="6">
        <v>5.9740000000000002</v>
      </c>
      <c r="G135" s="6">
        <v>1440</v>
      </c>
      <c r="H135" s="2" t="s">
        <v>105</v>
      </c>
    </row>
    <row r="136" spans="1:8" ht="25" x14ac:dyDescent="0.35">
      <c r="A136" s="4" t="s">
        <v>65</v>
      </c>
      <c r="B136" s="4" t="s">
        <v>157</v>
      </c>
      <c r="C136" s="4" t="s">
        <v>167</v>
      </c>
      <c r="D136" s="4" t="s">
        <v>199</v>
      </c>
      <c r="E136" s="4" t="s">
        <v>206</v>
      </c>
      <c r="F136" s="5">
        <v>5.6260000000000003</v>
      </c>
      <c r="G136" s="5">
        <v>1440</v>
      </c>
      <c r="H136" s="4" t="s">
        <v>105</v>
      </c>
    </row>
    <row r="137" spans="1:8" ht="25" x14ac:dyDescent="0.35">
      <c r="A137" s="2" t="s">
        <v>65</v>
      </c>
      <c r="B137" s="2" t="s">
        <v>157</v>
      </c>
      <c r="C137" s="2" t="s">
        <v>167</v>
      </c>
      <c r="D137" s="2" t="s">
        <v>207</v>
      </c>
      <c r="E137" s="2" t="s">
        <v>200</v>
      </c>
      <c r="F137" s="6">
        <v>70.81</v>
      </c>
      <c r="G137" s="6">
        <v>1440</v>
      </c>
      <c r="H137" s="2" t="s">
        <v>105</v>
      </c>
    </row>
    <row r="138" spans="1:8" ht="25" x14ac:dyDescent="0.35">
      <c r="A138" s="4" t="s">
        <v>65</v>
      </c>
      <c r="B138" s="4" t="s">
        <v>157</v>
      </c>
      <c r="C138" s="4" t="s">
        <v>167</v>
      </c>
      <c r="D138" s="4" t="s">
        <v>207</v>
      </c>
      <c r="E138" s="4" t="s">
        <v>201</v>
      </c>
      <c r="F138" s="5">
        <v>73</v>
      </c>
      <c r="G138" s="5">
        <v>1440</v>
      </c>
      <c r="H138" s="4" t="s">
        <v>105</v>
      </c>
    </row>
    <row r="139" spans="1:8" ht="25" x14ac:dyDescent="0.35">
      <c r="A139" s="2" t="s">
        <v>65</v>
      </c>
      <c r="B139" s="2" t="s">
        <v>157</v>
      </c>
      <c r="C139" s="2" t="s">
        <v>167</v>
      </c>
      <c r="D139" s="2" t="s">
        <v>207</v>
      </c>
      <c r="E139" s="2" t="s">
        <v>202</v>
      </c>
      <c r="F139" s="6">
        <v>75.19</v>
      </c>
      <c r="G139" s="6">
        <v>1440</v>
      </c>
      <c r="H139" s="2" t="s">
        <v>105</v>
      </c>
    </row>
    <row r="140" spans="1:8" ht="25" x14ac:dyDescent="0.35">
      <c r="A140" s="4" t="s">
        <v>65</v>
      </c>
      <c r="B140" s="4" t="s">
        <v>157</v>
      </c>
      <c r="C140" s="4" t="s">
        <v>167</v>
      </c>
      <c r="D140" s="4" t="s">
        <v>207</v>
      </c>
      <c r="E140" s="4" t="s">
        <v>203</v>
      </c>
      <c r="F140" s="5">
        <v>70.81</v>
      </c>
      <c r="G140" s="5">
        <v>1440</v>
      </c>
      <c r="H140" s="4" t="s">
        <v>105</v>
      </c>
    </row>
    <row r="141" spans="1:8" ht="25" x14ac:dyDescent="0.35">
      <c r="A141" s="2" t="s">
        <v>65</v>
      </c>
      <c r="B141" s="2" t="s">
        <v>157</v>
      </c>
      <c r="C141" s="2" t="s">
        <v>167</v>
      </c>
      <c r="D141" s="2" t="s">
        <v>207</v>
      </c>
      <c r="E141" s="2" t="s">
        <v>204</v>
      </c>
      <c r="F141" s="6">
        <v>73</v>
      </c>
      <c r="G141" s="6">
        <v>1440</v>
      </c>
      <c r="H141" s="2" t="s">
        <v>105</v>
      </c>
    </row>
    <row r="142" spans="1:8" ht="25" x14ac:dyDescent="0.35">
      <c r="A142" s="4" t="s">
        <v>65</v>
      </c>
      <c r="B142" s="4" t="s">
        <v>157</v>
      </c>
      <c r="C142" s="4" t="s">
        <v>167</v>
      </c>
      <c r="D142" s="4" t="s">
        <v>207</v>
      </c>
      <c r="E142" s="4" t="s">
        <v>205</v>
      </c>
      <c r="F142" s="5">
        <v>75.19</v>
      </c>
      <c r="G142" s="5">
        <v>1440</v>
      </c>
      <c r="H142" s="4" t="s">
        <v>105</v>
      </c>
    </row>
    <row r="143" spans="1:8" ht="25" x14ac:dyDescent="0.35">
      <c r="A143" s="2" t="s">
        <v>65</v>
      </c>
      <c r="B143" s="2" t="s">
        <v>157</v>
      </c>
      <c r="C143" s="2" t="s">
        <v>167</v>
      </c>
      <c r="D143" s="2" t="s">
        <v>207</v>
      </c>
      <c r="E143" s="2" t="s">
        <v>206</v>
      </c>
      <c r="F143" s="6">
        <v>70.81</v>
      </c>
      <c r="G143" s="6">
        <v>1440</v>
      </c>
      <c r="H143" s="2" t="s">
        <v>105</v>
      </c>
    </row>
    <row r="144" spans="1:8" ht="25" x14ac:dyDescent="0.35">
      <c r="A144" s="4" t="s">
        <v>65</v>
      </c>
      <c r="B144" s="4" t="s">
        <v>157</v>
      </c>
      <c r="C144" s="4" t="s">
        <v>167</v>
      </c>
      <c r="D144" s="4" t="s">
        <v>208</v>
      </c>
      <c r="E144" s="4" t="s">
        <v>200</v>
      </c>
      <c r="F144" s="5">
        <v>3.88</v>
      </c>
      <c r="G144" s="5">
        <v>1440</v>
      </c>
      <c r="H144" s="4" t="s">
        <v>105</v>
      </c>
    </row>
    <row r="145" spans="1:8" ht="25" x14ac:dyDescent="0.35">
      <c r="A145" s="2" t="s">
        <v>65</v>
      </c>
      <c r="B145" s="2" t="s">
        <v>157</v>
      </c>
      <c r="C145" s="2" t="s">
        <v>167</v>
      </c>
      <c r="D145" s="2" t="s">
        <v>208</v>
      </c>
      <c r="E145" s="2" t="s">
        <v>201</v>
      </c>
      <c r="F145" s="6">
        <v>4</v>
      </c>
      <c r="G145" s="6">
        <v>1440</v>
      </c>
      <c r="H145" s="2" t="s">
        <v>105</v>
      </c>
    </row>
    <row r="146" spans="1:8" ht="25" x14ac:dyDescent="0.35">
      <c r="A146" s="4" t="s">
        <v>65</v>
      </c>
      <c r="B146" s="4" t="s">
        <v>157</v>
      </c>
      <c r="C146" s="4" t="s">
        <v>167</v>
      </c>
      <c r="D146" s="4" t="s">
        <v>208</v>
      </c>
      <c r="E146" s="4" t="s">
        <v>202</v>
      </c>
      <c r="F146" s="5">
        <v>4.12</v>
      </c>
      <c r="G146" s="5">
        <v>1440</v>
      </c>
      <c r="H146" s="4" t="s">
        <v>105</v>
      </c>
    </row>
    <row r="147" spans="1:8" ht="25" x14ac:dyDescent="0.35">
      <c r="A147" s="2" t="s">
        <v>65</v>
      </c>
      <c r="B147" s="2" t="s">
        <v>157</v>
      </c>
      <c r="C147" s="2" t="s">
        <v>167</v>
      </c>
      <c r="D147" s="2" t="s">
        <v>208</v>
      </c>
      <c r="E147" s="2" t="s">
        <v>203</v>
      </c>
      <c r="F147" s="6">
        <v>3.88</v>
      </c>
      <c r="G147" s="6">
        <v>1440</v>
      </c>
      <c r="H147" s="2" t="s">
        <v>105</v>
      </c>
    </row>
    <row r="148" spans="1:8" ht="25" x14ac:dyDescent="0.35">
      <c r="A148" s="4" t="s">
        <v>65</v>
      </c>
      <c r="B148" s="4" t="s">
        <v>157</v>
      </c>
      <c r="C148" s="4" t="s">
        <v>167</v>
      </c>
      <c r="D148" s="4" t="s">
        <v>208</v>
      </c>
      <c r="E148" s="4" t="s">
        <v>204</v>
      </c>
      <c r="F148" s="5">
        <v>4</v>
      </c>
      <c r="G148" s="5">
        <v>1440</v>
      </c>
      <c r="H148" s="4" t="s">
        <v>105</v>
      </c>
    </row>
    <row r="149" spans="1:8" ht="25" x14ac:dyDescent="0.35">
      <c r="A149" s="2" t="s">
        <v>65</v>
      </c>
      <c r="B149" s="2" t="s">
        <v>157</v>
      </c>
      <c r="C149" s="2" t="s">
        <v>167</v>
      </c>
      <c r="D149" s="2" t="s">
        <v>208</v>
      </c>
      <c r="E149" s="2" t="s">
        <v>205</v>
      </c>
      <c r="F149" s="6">
        <v>4.12</v>
      </c>
      <c r="G149" s="6">
        <v>1440</v>
      </c>
      <c r="H149" s="2" t="s">
        <v>105</v>
      </c>
    </row>
    <row r="150" spans="1:8" ht="25" x14ac:dyDescent="0.35">
      <c r="A150" s="4" t="s">
        <v>65</v>
      </c>
      <c r="B150" s="4" t="s">
        <v>157</v>
      </c>
      <c r="C150" s="4" t="s">
        <v>167</v>
      </c>
      <c r="D150" s="4" t="s">
        <v>208</v>
      </c>
      <c r="E150" s="4" t="s">
        <v>206</v>
      </c>
      <c r="F150" s="5">
        <v>3.88</v>
      </c>
      <c r="G150" s="5">
        <v>1440</v>
      </c>
      <c r="H150" s="4" t="s">
        <v>105</v>
      </c>
    </row>
    <row r="151" spans="1:8" ht="25" x14ac:dyDescent="0.35">
      <c r="A151" s="2" t="s">
        <v>65</v>
      </c>
      <c r="B151" s="2" t="s">
        <v>157</v>
      </c>
      <c r="C151" s="2" t="s">
        <v>167</v>
      </c>
      <c r="D151" s="2" t="s">
        <v>209</v>
      </c>
      <c r="E151" s="2" t="s">
        <v>200</v>
      </c>
      <c r="F151" s="6">
        <v>4.8499999999999996</v>
      </c>
      <c r="G151" s="6">
        <v>1440</v>
      </c>
      <c r="H151" s="2" t="s">
        <v>105</v>
      </c>
    </row>
    <row r="152" spans="1:8" ht="25" x14ac:dyDescent="0.35">
      <c r="A152" s="4" t="s">
        <v>65</v>
      </c>
      <c r="B152" s="4" t="s">
        <v>157</v>
      </c>
      <c r="C152" s="4" t="s">
        <v>167</v>
      </c>
      <c r="D152" s="4" t="s">
        <v>209</v>
      </c>
      <c r="E152" s="4" t="s">
        <v>201</v>
      </c>
      <c r="F152" s="5">
        <v>5</v>
      </c>
      <c r="G152" s="5">
        <v>1440</v>
      </c>
      <c r="H152" s="4" t="s">
        <v>105</v>
      </c>
    </row>
    <row r="153" spans="1:8" ht="25" x14ac:dyDescent="0.35">
      <c r="A153" s="2" t="s">
        <v>65</v>
      </c>
      <c r="B153" s="2" t="s">
        <v>157</v>
      </c>
      <c r="C153" s="2" t="s">
        <v>167</v>
      </c>
      <c r="D153" s="2" t="s">
        <v>209</v>
      </c>
      <c r="E153" s="2" t="s">
        <v>202</v>
      </c>
      <c r="F153" s="6">
        <v>5.15</v>
      </c>
      <c r="G153" s="6">
        <v>1440</v>
      </c>
      <c r="H153" s="2" t="s">
        <v>105</v>
      </c>
    </row>
    <row r="154" spans="1:8" ht="25" x14ac:dyDescent="0.35">
      <c r="A154" s="4" t="s">
        <v>65</v>
      </c>
      <c r="B154" s="4" t="s">
        <v>157</v>
      </c>
      <c r="C154" s="4" t="s">
        <v>167</v>
      </c>
      <c r="D154" s="4" t="s">
        <v>209</v>
      </c>
      <c r="E154" s="4" t="s">
        <v>203</v>
      </c>
      <c r="F154" s="5">
        <v>4.8499999999999996</v>
      </c>
      <c r="G154" s="5">
        <v>1440</v>
      </c>
      <c r="H154" s="4" t="s">
        <v>105</v>
      </c>
    </row>
    <row r="155" spans="1:8" ht="25" x14ac:dyDescent="0.35">
      <c r="A155" s="2" t="s">
        <v>65</v>
      </c>
      <c r="B155" s="2" t="s">
        <v>157</v>
      </c>
      <c r="C155" s="2" t="s">
        <v>167</v>
      </c>
      <c r="D155" s="2" t="s">
        <v>209</v>
      </c>
      <c r="E155" s="2" t="s">
        <v>204</v>
      </c>
      <c r="F155" s="6">
        <v>5</v>
      </c>
      <c r="G155" s="6">
        <v>1440</v>
      </c>
      <c r="H155" s="2" t="s">
        <v>105</v>
      </c>
    </row>
    <row r="156" spans="1:8" ht="25" x14ac:dyDescent="0.35">
      <c r="A156" s="4" t="s">
        <v>65</v>
      </c>
      <c r="B156" s="4" t="s">
        <v>157</v>
      </c>
      <c r="C156" s="4" t="s">
        <v>167</v>
      </c>
      <c r="D156" s="4" t="s">
        <v>209</v>
      </c>
      <c r="E156" s="4" t="s">
        <v>205</v>
      </c>
      <c r="F156" s="5">
        <v>5.15</v>
      </c>
      <c r="G156" s="5">
        <v>1440</v>
      </c>
      <c r="H156" s="4" t="s">
        <v>105</v>
      </c>
    </row>
    <row r="157" spans="1:8" ht="25" x14ac:dyDescent="0.35">
      <c r="A157" s="2" t="s">
        <v>65</v>
      </c>
      <c r="B157" s="2" t="s">
        <v>157</v>
      </c>
      <c r="C157" s="2" t="s">
        <v>167</v>
      </c>
      <c r="D157" s="2" t="s">
        <v>209</v>
      </c>
      <c r="E157" s="2" t="s">
        <v>206</v>
      </c>
      <c r="F157" s="6">
        <v>4.8499999999999996</v>
      </c>
      <c r="G157" s="6">
        <v>1440</v>
      </c>
      <c r="H157" s="2" t="s">
        <v>105</v>
      </c>
    </row>
    <row r="158" spans="1:8" ht="25" x14ac:dyDescent="0.35">
      <c r="A158" s="4" t="s">
        <v>65</v>
      </c>
      <c r="B158" s="4" t="s">
        <v>157</v>
      </c>
      <c r="C158" s="4" t="s">
        <v>167</v>
      </c>
      <c r="D158" s="4" t="s">
        <v>210</v>
      </c>
      <c r="E158" s="4" t="s">
        <v>200</v>
      </c>
      <c r="F158" s="5">
        <v>2.91</v>
      </c>
      <c r="G158" s="5">
        <v>1440</v>
      </c>
      <c r="H158" s="4" t="s">
        <v>105</v>
      </c>
    </row>
    <row r="159" spans="1:8" ht="25" x14ac:dyDescent="0.35">
      <c r="A159" s="2" t="s">
        <v>65</v>
      </c>
      <c r="B159" s="2" t="s">
        <v>157</v>
      </c>
      <c r="C159" s="2" t="s">
        <v>167</v>
      </c>
      <c r="D159" s="2" t="s">
        <v>210</v>
      </c>
      <c r="E159" s="2" t="s">
        <v>201</v>
      </c>
      <c r="F159" s="6">
        <v>3</v>
      </c>
      <c r="G159" s="6">
        <v>1440</v>
      </c>
      <c r="H159" s="2" t="s">
        <v>105</v>
      </c>
    </row>
    <row r="160" spans="1:8" ht="25" x14ac:dyDescent="0.35">
      <c r="A160" s="4" t="s">
        <v>65</v>
      </c>
      <c r="B160" s="4" t="s">
        <v>157</v>
      </c>
      <c r="C160" s="4" t="s">
        <v>167</v>
      </c>
      <c r="D160" s="4" t="s">
        <v>210</v>
      </c>
      <c r="E160" s="4" t="s">
        <v>202</v>
      </c>
      <c r="F160" s="5">
        <v>3.09</v>
      </c>
      <c r="G160" s="5">
        <v>1440</v>
      </c>
      <c r="H160" s="4" t="s">
        <v>105</v>
      </c>
    </row>
    <row r="161" spans="1:8" ht="25" x14ac:dyDescent="0.35">
      <c r="A161" s="2" t="s">
        <v>65</v>
      </c>
      <c r="B161" s="2" t="s">
        <v>157</v>
      </c>
      <c r="C161" s="2" t="s">
        <v>167</v>
      </c>
      <c r="D161" s="2" t="s">
        <v>210</v>
      </c>
      <c r="E161" s="2" t="s">
        <v>203</v>
      </c>
      <c r="F161" s="6">
        <v>2.91</v>
      </c>
      <c r="G161" s="6">
        <v>1440</v>
      </c>
      <c r="H161" s="2" t="s">
        <v>105</v>
      </c>
    </row>
    <row r="162" spans="1:8" ht="25" x14ac:dyDescent="0.35">
      <c r="A162" s="4" t="s">
        <v>65</v>
      </c>
      <c r="B162" s="4" t="s">
        <v>157</v>
      </c>
      <c r="C162" s="4" t="s">
        <v>167</v>
      </c>
      <c r="D162" s="4" t="s">
        <v>210</v>
      </c>
      <c r="E162" s="4" t="s">
        <v>204</v>
      </c>
      <c r="F162" s="5">
        <v>3</v>
      </c>
      <c r="G162" s="5">
        <v>1440</v>
      </c>
      <c r="H162" s="4" t="s">
        <v>105</v>
      </c>
    </row>
    <row r="163" spans="1:8" ht="25" x14ac:dyDescent="0.35">
      <c r="A163" s="2" t="s">
        <v>65</v>
      </c>
      <c r="B163" s="2" t="s">
        <v>157</v>
      </c>
      <c r="C163" s="2" t="s">
        <v>167</v>
      </c>
      <c r="D163" s="2" t="s">
        <v>210</v>
      </c>
      <c r="E163" s="2" t="s">
        <v>205</v>
      </c>
      <c r="F163" s="6">
        <v>3.09</v>
      </c>
      <c r="G163" s="6">
        <v>1440</v>
      </c>
      <c r="H163" s="2" t="s">
        <v>105</v>
      </c>
    </row>
    <row r="164" spans="1:8" ht="25" x14ac:dyDescent="0.35">
      <c r="A164" s="4" t="s">
        <v>65</v>
      </c>
      <c r="B164" s="4" t="s">
        <v>157</v>
      </c>
      <c r="C164" s="4" t="s">
        <v>167</v>
      </c>
      <c r="D164" s="4" t="s">
        <v>210</v>
      </c>
      <c r="E164" s="4" t="s">
        <v>206</v>
      </c>
      <c r="F164" s="5">
        <v>2.91</v>
      </c>
      <c r="G164" s="5">
        <v>1440</v>
      </c>
      <c r="H164" s="4" t="s">
        <v>105</v>
      </c>
    </row>
    <row r="165" spans="1:8" ht="25" x14ac:dyDescent="0.35">
      <c r="A165" s="2" t="s">
        <v>65</v>
      </c>
      <c r="B165" s="2" t="s">
        <v>157</v>
      </c>
      <c r="C165" s="2" t="s">
        <v>167</v>
      </c>
      <c r="D165" s="2" t="s">
        <v>211</v>
      </c>
      <c r="E165" s="2" t="s">
        <v>200</v>
      </c>
      <c r="F165" s="6">
        <v>1.94</v>
      </c>
      <c r="G165" s="6">
        <v>1440</v>
      </c>
      <c r="H165" s="2" t="s">
        <v>105</v>
      </c>
    </row>
    <row r="166" spans="1:8" ht="25" x14ac:dyDescent="0.35">
      <c r="A166" s="4" t="s">
        <v>65</v>
      </c>
      <c r="B166" s="4" t="s">
        <v>157</v>
      </c>
      <c r="C166" s="4" t="s">
        <v>167</v>
      </c>
      <c r="D166" s="4" t="s">
        <v>211</v>
      </c>
      <c r="E166" s="4" t="s">
        <v>201</v>
      </c>
      <c r="F166" s="5">
        <v>2</v>
      </c>
      <c r="G166" s="5">
        <v>1440</v>
      </c>
      <c r="H166" s="4" t="s">
        <v>105</v>
      </c>
    </row>
    <row r="167" spans="1:8" ht="25" x14ac:dyDescent="0.35">
      <c r="A167" s="2" t="s">
        <v>65</v>
      </c>
      <c r="B167" s="2" t="s">
        <v>157</v>
      </c>
      <c r="C167" s="2" t="s">
        <v>167</v>
      </c>
      <c r="D167" s="2" t="s">
        <v>211</v>
      </c>
      <c r="E167" s="2" t="s">
        <v>202</v>
      </c>
      <c r="F167" s="6">
        <v>2.06</v>
      </c>
      <c r="G167" s="6">
        <v>1440</v>
      </c>
      <c r="H167" s="2" t="s">
        <v>105</v>
      </c>
    </row>
    <row r="168" spans="1:8" ht="25" x14ac:dyDescent="0.35">
      <c r="A168" s="4" t="s">
        <v>65</v>
      </c>
      <c r="B168" s="4" t="s">
        <v>157</v>
      </c>
      <c r="C168" s="4" t="s">
        <v>167</v>
      </c>
      <c r="D168" s="4" t="s">
        <v>211</v>
      </c>
      <c r="E168" s="4" t="s">
        <v>203</v>
      </c>
      <c r="F168" s="5">
        <v>1.94</v>
      </c>
      <c r="G168" s="5">
        <v>1440</v>
      </c>
      <c r="H168" s="4" t="s">
        <v>105</v>
      </c>
    </row>
    <row r="169" spans="1:8" ht="25" x14ac:dyDescent="0.35">
      <c r="A169" s="2" t="s">
        <v>65</v>
      </c>
      <c r="B169" s="2" t="s">
        <v>157</v>
      </c>
      <c r="C169" s="2" t="s">
        <v>167</v>
      </c>
      <c r="D169" s="2" t="s">
        <v>211</v>
      </c>
      <c r="E169" s="2" t="s">
        <v>204</v>
      </c>
      <c r="F169" s="6">
        <v>2</v>
      </c>
      <c r="G169" s="6">
        <v>1440</v>
      </c>
      <c r="H169" s="2" t="s">
        <v>105</v>
      </c>
    </row>
    <row r="170" spans="1:8" ht="25" x14ac:dyDescent="0.35">
      <c r="A170" s="4" t="s">
        <v>65</v>
      </c>
      <c r="B170" s="4" t="s">
        <v>157</v>
      </c>
      <c r="C170" s="4" t="s">
        <v>167</v>
      </c>
      <c r="D170" s="4" t="s">
        <v>211</v>
      </c>
      <c r="E170" s="4" t="s">
        <v>205</v>
      </c>
      <c r="F170" s="5">
        <v>2.06</v>
      </c>
      <c r="G170" s="5">
        <v>1440</v>
      </c>
      <c r="H170" s="4" t="s">
        <v>105</v>
      </c>
    </row>
    <row r="171" spans="1:8" ht="25" x14ac:dyDescent="0.35">
      <c r="A171" s="2" t="s">
        <v>65</v>
      </c>
      <c r="B171" s="2" t="s">
        <v>157</v>
      </c>
      <c r="C171" s="2" t="s">
        <v>167</v>
      </c>
      <c r="D171" s="2" t="s">
        <v>211</v>
      </c>
      <c r="E171" s="2" t="s">
        <v>206</v>
      </c>
      <c r="F171" s="6">
        <v>1.94</v>
      </c>
      <c r="G171" s="6">
        <v>1440</v>
      </c>
      <c r="H171" s="2" t="s">
        <v>105</v>
      </c>
    </row>
    <row r="172" spans="1:8" ht="25" x14ac:dyDescent="0.35">
      <c r="A172" s="4" t="s">
        <v>65</v>
      </c>
      <c r="B172" s="4" t="s">
        <v>157</v>
      </c>
      <c r="C172" s="4" t="s">
        <v>158</v>
      </c>
      <c r="D172" s="4" t="s">
        <v>199</v>
      </c>
      <c r="E172" s="4" t="s">
        <v>200</v>
      </c>
      <c r="F172" s="5">
        <v>83.42</v>
      </c>
      <c r="G172" s="5">
        <v>1440</v>
      </c>
      <c r="H172" s="4" t="s">
        <v>100</v>
      </c>
    </row>
    <row r="173" spans="1:8" ht="25" x14ac:dyDescent="0.35">
      <c r="A173" s="2" t="s">
        <v>65</v>
      </c>
      <c r="B173" s="2" t="s">
        <v>157</v>
      </c>
      <c r="C173" s="2" t="s">
        <v>158</v>
      </c>
      <c r="D173" s="2" t="s">
        <v>199</v>
      </c>
      <c r="E173" s="2" t="s">
        <v>201</v>
      </c>
      <c r="F173" s="6">
        <v>86</v>
      </c>
      <c r="G173" s="6">
        <v>1440</v>
      </c>
      <c r="H173" s="2" t="s">
        <v>100</v>
      </c>
    </row>
    <row r="174" spans="1:8" ht="25" x14ac:dyDescent="0.35">
      <c r="A174" s="4" t="s">
        <v>65</v>
      </c>
      <c r="B174" s="4" t="s">
        <v>157</v>
      </c>
      <c r="C174" s="4" t="s">
        <v>158</v>
      </c>
      <c r="D174" s="4" t="s">
        <v>199</v>
      </c>
      <c r="E174" s="4" t="s">
        <v>202</v>
      </c>
      <c r="F174" s="5">
        <v>88.58</v>
      </c>
      <c r="G174" s="5">
        <v>1440</v>
      </c>
      <c r="H174" s="4" t="s">
        <v>100</v>
      </c>
    </row>
    <row r="175" spans="1:8" ht="25" x14ac:dyDescent="0.35">
      <c r="A175" s="2" t="s">
        <v>65</v>
      </c>
      <c r="B175" s="2" t="s">
        <v>157</v>
      </c>
      <c r="C175" s="2" t="s">
        <v>158</v>
      </c>
      <c r="D175" s="2" t="s">
        <v>199</v>
      </c>
      <c r="E175" s="2" t="s">
        <v>203</v>
      </c>
      <c r="F175" s="6">
        <v>83.42</v>
      </c>
      <c r="G175" s="6">
        <v>1440</v>
      </c>
      <c r="H175" s="2" t="s">
        <v>100</v>
      </c>
    </row>
    <row r="176" spans="1:8" ht="25" x14ac:dyDescent="0.35">
      <c r="A176" s="4" t="s">
        <v>65</v>
      </c>
      <c r="B176" s="4" t="s">
        <v>157</v>
      </c>
      <c r="C176" s="4" t="s">
        <v>158</v>
      </c>
      <c r="D176" s="4" t="s">
        <v>199</v>
      </c>
      <c r="E176" s="4" t="s">
        <v>204</v>
      </c>
      <c r="F176" s="5">
        <v>86</v>
      </c>
      <c r="G176" s="5">
        <v>1440</v>
      </c>
      <c r="H176" s="4" t="s">
        <v>100</v>
      </c>
    </row>
    <row r="177" spans="1:8" ht="25" x14ac:dyDescent="0.35">
      <c r="A177" s="2" t="s">
        <v>65</v>
      </c>
      <c r="B177" s="2" t="s">
        <v>157</v>
      </c>
      <c r="C177" s="2" t="s">
        <v>158</v>
      </c>
      <c r="D177" s="2" t="s">
        <v>199</v>
      </c>
      <c r="E177" s="2" t="s">
        <v>205</v>
      </c>
      <c r="F177" s="6">
        <v>88.58</v>
      </c>
      <c r="G177" s="6">
        <v>1440</v>
      </c>
      <c r="H177" s="2" t="s">
        <v>100</v>
      </c>
    </row>
    <row r="178" spans="1:8" ht="25" x14ac:dyDescent="0.35">
      <c r="A178" s="4" t="s">
        <v>65</v>
      </c>
      <c r="B178" s="4" t="s">
        <v>157</v>
      </c>
      <c r="C178" s="4" t="s">
        <v>158</v>
      </c>
      <c r="D178" s="4" t="s">
        <v>199</v>
      </c>
      <c r="E178" s="4" t="s">
        <v>206</v>
      </c>
      <c r="F178" s="5">
        <v>83.42</v>
      </c>
      <c r="G178" s="5">
        <v>1440</v>
      </c>
      <c r="H178" s="4" t="s">
        <v>100</v>
      </c>
    </row>
    <row r="179" spans="1:8" ht="25" x14ac:dyDescent="0.35">
      <c r="A179" s="2" t="s">
        <v>65</v>
      </c>
      <c r="B179" s="2" t="s">
        <v>157</v>
      </c>
      <c r="C179" s="2" t="s">
        <v>158</v>
      </c>
      <c r="D179" s="2" t="s">
        <v>207</v>
      </c>
      <c r="E179" s="2" t="s">
        <v>200</v>
      </c>
      <c r="F179" s="6">
        <v>39.770000000000003</v>
      </c>
      <c r="G179" s="6">
        <v>1440</v>
      </c>
      <c r="H179" s="2" t="s">
        <v>100</v>
      </c>
    </row>
    <row r="180" spans="1:8" ht="25" x14ac:dyDescent="0.35">
      <c r="A180" s="4" t="s">
        <v>65</v>
      </c>
      <c r="B180" s="4" t="s">
        <v>157</v>
      </c>
      <c r="C180" s="4" t="s">
        <v>158</v>
      </c>
      <c r="D180" s="4" t="s">
        <v>207</v>
      </c>
      <c r="E180" s="4" t="s">
        <v>201</v>
      </c>
      <c r="F180" s="5">
        <v>41</v>
      </c>
      <c r="G180" s="5">
        <v>1440</v>
      </c>
      <c r="H180" s="4" t="s">
        <v>100</v>
      </c>
    </row>
    <row r="181" spans="1:8" ht="25" x14ac:dyDescent="0.35">
      <c r="A181" s="2" t="s">
        <v>65</v>
      </c>
      <c r="B181" s="2" t="s">
        <v>157</v>
      </c>
      <c r="C181" s="2" t="s">
        <v>158</v>
      </c>
      <c r="D181" s="2" t="s">
        <v>207</v>
      </c>
      <c r="E181" s="2" t="s">
        <v>202</v>
      </c>
      <c r="F181" s="6">
        <v>42.23</v>
      </c>
      <c r="G181" s="6">
        <v>1440</v>
      </c>
      <c r="H181" s="2" t="s">
        <v>100</v>
      </c>
    </row>
    <row r="182" spans="1:8" ht="25" x14ac:dyDescent="0.35">
      <c r="A182" s="4" t="s">
        <v>65</v>
      </c>
      <c r="B182" s="4" t="s">
        <v>157</v>
      </c>
      <c r="C182" s="4" t="s">
        <v>158</v>
      </c>
      <c r="D182" s="4" t="s">
        <v>207</v>
      </c>
      <c r="E182" s="4" t="s">
        <v>203</v>
      </c>
      <c r="F182" s="5">
        <v>39.770000000000003</v>
      </c>
      <c r="G182" s="5">
        <v>1440</v>
      </c>
      <c r="H182" s="4" t="s">
        <v>100</v>
      </c>
    </row>
    <row r="183" spans="1:8" ht="25" x14ac:dyDescent="0.35">
      <c r="A183" s="2" t="s">
        <v>65</v>
      </c>
      <c r="B183" s="2" t="s">
        <v>157</v>
      </c>
      <c r="C183" s="2" t="s">
        <v>158</v>
      </c>
      <c r="D183" s="2" t="s">
        <v>207</v>
      </c>
      <c r="E183" s="2" t="s">
        <v>204</v>
      </c>
      <c r="F183" s="6">
        <v>41</v>
      </c>
      <c r="G183" s="6">
        <v>1440</v>
      </c>
      <c r="H183" s="2" t="s">
        <v>100</v>
      </c>
    </row>
    <row r="184" spans="1:8" ht="25" x14ac:dyDescent="0.35">
      <c r="A184" s="4" t="s">
        <v>65</v>
      </c>
      <c r="B184" s="4" t="s">
        <v>157</v>
      </c>
      <c r="C184" s="4" t="s">
        <v>158</v>
      </c>
      <c r="D184" s="4" t="s">
        <v>207</v>
      </c>
      <c r="E184" s="4" t="s">
        <v>205</v>
      </c>
      <c r="F184" s="5">
        <v>42.23</v>
      </c>
      <c r="G184" s="5">
        <v>1440</v>
      </c>
      <c r="H184" s="4" t="s">
        <v>100</v>
      </c>
    </row>
    <row r="185" spans="1:8" ht="25" x14ac:dyDescent="0.35">
      <c r="A185" s="2" t="s">
        <v>65</v>
      </c>
      <c r="B185" s="2" t="s">
        <v>157</v>
      </c>
      <c r="C185" s="2" t="s">
        <v>158</v>
      </c>
      <c r="D185" s="2" t="s">
        <v>207</v>
      </c>
      <c r="E185" s="2" t="s">
        <v>206</v>
      </c>
      <c r="F185" s="6">
        <v>39.770000000000003</v>
      </c>
      <c r="G185" s="6">
        <v>1440</v>
      </c>
      <c r="H185" s="2" t="s">
        <v>100</v>
      </c>
    </row>
    <row r="186" spans="1:8" ht="25" x14ac:dyDescent="0.35">
      <c r="A186" s="4" t="s">
        <v>65</v>
      </c>
      <c r="B186" s="4" t="s">
        <v>157</v>
      </c>
      <c r="C186" s="4" t="s">
        <v>158</v>
      </c>
      <c r="D186" s="4" t="s">
        <v>208</v>
      </c>
      <c r="E186" s="4" t="s">
        <v>200</v>
      </c>
      <c r="F186" s="5">
        <v>21.34</v>
      </c>
      <c r="G186" s="5">
        <v>1440</v>
      </c>
      <c r="H186" s="4" t="s">
        <v>100</v>
      </c>
    </row>
    <row r="187" spans="1:8" ht="25" x14ac:dyDescent="0.35">
      <c r="A187" s="2" t="s">
        <v>65</v>
      </c>
      <c r="B187" s="2" t="s">
        <v>157</v>
      </c>
      <c r="C187" s="2" t="s">
        <v>158</v>
      </c>
      <c r="D187" s="2" t="s">
        <v>208</v>
      </c>
      <c r="E187" s="2" t="s">
        <v>201</v>
      </c>
      <c r="F187" s="6">
        <v>22</v>
      </c>
      <c r="G187" s="6">
        <v>1440</v>
      </c>
      <c r="H187" s="2" t="s">
        <v>100</v>
      </c>
    </row>
    <row r="188" spans="1:8" ht="25" x14ac:dyDescent="0.35">
      <c r="A188" s="4" t="s">
        <v>65</v>
      </c>
      <c r="B188" s="4" t="s">
        <v>157</v>
      </c>
      <c r="C188" s="4" t="s">
        <v>158</v>
      </c>
      <c r="D188" s="4" t="s">
        <v>208</v>
      </c>
      <c r="E188" s="4" t="s">
        <v>202</v>
      </c>
      <c r="F188" s="5">
        <v>22.66</v>
      </c>
      <c r="G188" s="5">
        <v>1440</v>
      </c>
      <c r="H188" s="4" t="s">
        <v>100</v>
      </c>
    </row>
    <row r="189" spans="1:8" ht="25" x14ac:dyDescent="0.35">
      <c r="A189" s="2" t="s">
        <v>65</v>
      </c>
      <c r="B189" s="2" t="s">
        <v>157</v>
      </c>
      <c r="C189" s="2" t="s">
        <v>158</v>
      </c>
      <c r="D189" s="2" t="s">
        <v>208</v>
      </c>
      <c r="E189" s="2" t="s">
        <v>203</v>
      </c>
      <c r="F189" s="6">
        <v>21.34</v>
      </c>
      <c r="G189" s="6">
        <v>1440</v>
      </c>
      <c r="H189" s="2" t="s">
        <v>100</v>
      </c>
    </row>
    <row r="190" spans="1:8" ht="25" x14ac:dyDescent="0.35">
      <c r="A190" s="4" t="s">
        <v>65</v>
      </c>
      <c r="B190" s="4" t="s">
        <v>157</v>
      </c>
      <c r="C190" s="4" t="s">
        <v>158</v>
      </c>
      <c r="D190" s="4" t="s">
        <v>208</v>
      </c>
      <c r="E190" s="4" t="s">
        <v>204</v>
      </c>
      <c r="F190" s="5">
        <v>22</v>
      </c>
      <c r="G190" s="5">
        <v>1440</v>
      </c>
      <c r="H190" s="4" t="s">
        <v>100</v>
      </c>
    </row>
    <row r="191" spans="1:8" ht="25" x14ac:dyDescent="0.35">
      <c r="A191" s="2" t="s">
        <v>65</v>
      </c>
      <c r="B191" s="2" t="s">
        <v>157</v>
      </c>
      <c r="C191" s="2" t="s">
        <v>158</v>
      </c>
      <c r="D191" s="2" t="s">
        <v>208</v>
      </c>
      <c r="E191" s="2" t="s">
        <v>205</v>
      </c>
      <c r="F191" s="6">
        <v>22.66</v>
      </c>
      <c r="G191" s="6">
        <v>1440</v>
      </c>
      <c r="H191" s="2" t="s">
        <v>100</v>
      </c>
    </row>
    <row r="192" spans="1:8" ht="25" x14ac:dyDescent="0.35">
      <c r="A192" s="4" t="s">
        <v>65</v>
      </c>
      <c r="B192" s="4" t="s">
        <v>157</v>
      </c>
      <c r="C192" s="4" t="s">
        <v>158</v>
      </c>
      <c r="D192" s="4" t="s">
        <v>208</v>
      </c>
      <c r="E192" s="4" t="s">
        <v>206</v>
      </c>
      <c r="F192" s="5">
        <v>21.34</v>
      </c>
      <c r="G192" s="5">
        <v>1440</v>
      </c>
      <c r="H192" s="4" t="s">
        <v>100</v>
      </c>
    </row>
    <row r="193" spans="1:8" ht="25" x14ac:dyDescent="0.35">
      <c r="A193" s="2" t="s">
        <v>65</v>
      </c>
      <c r="B193" s="2" t="s">
        <v>157</v>
      </c>
      <c r="C193" s="2" t="s">
        <v>158</v>
      </c>
      <c r="D193" s="2" t="s">
        <v>209</v>
      </c>
      <c r="E193" s="2" t="s">
        <v>200</v>
      </c>
      <c r="F193" s="6">
        <v>29.1</v>
      </c>
      <c r="G193" s="6">
        <v>1440</v>
      </c>
      <c r="H193" s="2" t="s">
        <v>100</v>
      </c>
    </row>
    <row r="194" spans="1:8" ht="25" x14ac:dyDescent="0.35">
      <c r="A194" s="4" t="s">
        <v>65</v>
      </c>
      <c r="B194" s="4" t="s">
        <v>157</v>
      </c>
      <c r="C194" s="4" t="s">
        <v>158</v>
      </c>
      <c r="D194" s="4" t="s">
        <v>209</v>
      </c>
      <c r="E194" s="4" t="s">
        <v>201</v>
      </c>
      <c r="F194" s="5">
        <v>30</v>
      </c>
      <c r="G194" s="5">
        <v>1440</v>
      </c>
      <c r="H194" s="4" t="s">
        <v>100</v>
      </c>
    </row>
    <row r="195" spans="1:8" ht="25" x14ac:dyDescent="0.35">
      <c r="A195" s="2" t="s">
        <v>65</v>
      </c>
      <c r="B195" s="2" t="s">
        <v>157</v>
      </c>
      <c r="C195" s="2" t="s">
        <v>158</v>
      </c>
      <c r="D195" s="2" t="s">
        <v>209</v>
      </c>
      <c r="E195" s="2" t="s">
        <v>202</v>
      </c>
      <c r="F195" s="6">
        <v>30.9</v>
      </c>
      <c r="G195" s="6">
        <v>1440</v>
      </c>
      <c r="H195" s="2" t="s">
        <v>100</v>
      </c>
    </row>
    <row r="196" spans="1:8" ht="25" x14ac:dyDescent="0.35">
      <c r="A196" s="4" t="s">
        <v>65</v>
      </c>
      <c r="B196" s="4" t="s">
        <v>157</v>
      </c>
      <c r="C196" s="4" t="s">
        <v>158</v>
      </c>
      <c r="D196" s="4" t="s">
        <v>209</v>
      </c>
      <c r="E196" s="4" t="s">
        <v>203</v>
      </c>
      <c r="F196" s="5">
        <v>29.1</v>
      </c>
      <c r="G196" s="5">
        <v>1440</v>
      </c>
      <c r="H196" s="4" t="s">
        <v>100</v>
      </c>
    </row>
    <row r="197" spans="1:8" ht="25" x14ac:dyDescent="0.35">
      <c r="A197" s="2" t="s">
        <v>65</v>
      </c>
      <c r="B197" s="2" t="s">
        <v>157</v>
      </c>
      <c r="C197" s="2" t="s">
        <v>158</v>
      </c>
      <c r="D197" s="2" t="s">
        <v>209</v>
      </c>
      <c r="E197" s="2" t="s">
        <v>204</v>
      </c>
      <c r="F197" s="6">
        <v>30</v>
      </c>
      <c r="G197" s="6">
        <v>1440</v>
      </c>
      <c r="H197" s="2" t="s">
        <v>100</v>
      </c>
    </row>
    <row r="198" spans="1:8" ht="25" x14ac:dyDescent="0.35">
      <c r="A198" s="4" t="s">
        <v>65</v>
      </c>
      <c r="B198" s="4" t="s">
        <v>157</v>
      </c>
      <c r="C198" s="4" t="s">
        <v>158</v>
      </c>
      <c r="D198" s="4" t="s">
        <v>209</v>
      </c>
      <c r="E198" s="4" t="s">
        <v>205</v>
      </c>
      <c r="F198" s="5">
        <v>30.9</v>
      </c>
      <c r="G198" s="5">
        <v>1440</v>
      </c>
      <c r="H198" s="4" t="s">
        <v>100</v>
      </c>
    </row>
    <row r="199" spans="1:8" ht="25" x14ac:dyDescent="0.35">
      <c r="A199" s="2" t="s">
        <v>65</v>
      </c>
      <c r="B199" s="2" t="s">
        <v>157</v>
      </c>
      <c r="C199" s="2" t="s">
        <v>158</v>
      </c>
      <c r="D199" s="2" t="s">
        <v>209</v>
      </c>
      <c r="E199" s="2" t="s">
        <v>206</v>
      </c>
      <c r="F199" s="6">
        <v>29.1</v>
      </c>
      <c r="G199" s="6">
        <v>1440</v>
      </c>
      <c r="H199" s="2" t="s">
        <v>100</v>
      </c>
    </row>
    <row r="200" spans="1:8" ht="25" x14ac:dyDescent="0.35">
      <c r="A200" s="4" t="s">
        <v>65</v>
      </c>
      <c r="B200" s="4" t="s">
        <v>157</v>
      </c>
      <c r="C200" s="4" t="s">
        <v>158</v>
      </c>
      <c r="D200" s="4" t="s">
        <v>210</v>
      </c>
      <c r="E200" s="4" t="s">
        <v>200</v>
      </c>
      <c r="F200" s="5">
        <v>10.67</v>
      </c>
      <c r="G200" s="5">
        <v>1440</v>
      </c>
      <c r="H200" s="4" t="s">
        <v>100</v>
      </c>
    </row>
    <row r="201" spans="1:8" ht="25" x14ac:dyDescent="0.35">
      <c r="A201" s="2" t="s">
        <v>65</v>
      </c>
      <c r="B201" s="2" t="s">
        <v>157</v>
      </c>
      <c r="C201" s="2" t="s">
        <v>158</v>
      </c>
      <c r="D201" s="2" t="s">
        <v>210</v>
      </c>
      <c r="E201" s="2" t="s">
        <v>201</v>
      </c>
      <c r="F201" s="6">
        <v>11</v>
      </c>
      <c r="G201" s="6">
        <v>1440</v>
      </c>
      <c r="H201" s="2" t="s">
        <v>100</v>
      </c>
    </row>
    <row r="202" spans="1:8" ht="25" x14ac:dyDescent="0.35">
      <c r="A202" s="4" t="s">
        <v>65</v>
      </c>
      <c r="B202" s="4" t="s">
        <v>157</v>
      </c>
      <c r="C202" s="4" t="s">
        <v>158</v>
      </c>
      <c r="D202" s="4" t="s">
        <v>210</v>
      </c>
      <c r="E202" s="4" t="s">
        <v>202</v>
      </c>
      <c r="F202" s="5">
        <v>11.33</v>
      </c>
      <c r="G202" s="5">
        <v>1440</v>
      </c>
      <c r="H202" s="4" t="s">
        <v>100</v>
      </c>
    </row>
    <row r="203" spans="1:8" ht="25" x14ac:dyDescent="0.35">
      <c r="A203" s="2" t="s">
        <v>65</v>
      </c>
      <c r="B203" s="2" t="s">
        <v>157</v>
      </c>
      <c r="C203" s="2" t="s">
        <v>158</v>
      </c>
      <c r="D203" s="2" t="s">
        <v>210</v>
      </c>
      <c r="E203" s="2" t="s">
        <v>203</v>
      </c>
      <c r="F203" s="6">
        <v>10.67</v>
      </c>
      <c r="G203" s="6">
        <v>1440</v>
      </c>
      <c r="H203" s="2" t="s">
        <v>100</v>
      </c>
    </row>
    <row r="204" spans="1:8" ht="25" x14ac:dyDescent="0.35">
      <c r="A204" s="4" t="s">
        <v>65</v>
      </c>
      <c r="B204" s="4" t="s">
        <v>157</v>
      </c>
      <c r="C204" s="4" t="s">
        <v>158</v>
      </c>
      <c r="D204" s="4" t="s">
        <v>210</v>
      </c>
      <c r="E204" s="4" t="s">
        <v>204</v>
      </c>
      <c r="F204" s="5">
        <v>11</v>
      </c>
      <c r="G204" s="5">
        <v>1440</v>
      </c>
      <c r="H204" s="4" t="s">
        <v>100</v>
      </c>
    </row>
    <row r="205" spans="1:8" ht="25" x14ac:dyDescent="0.35">
      <c r="A205" s="2" t="s">
        <v>65</v>
      </c>
      <c r="B205" s="2" t="s">
        <v>157</v>
      </c>
      <c r="C205" s="2" t="s">
        <v>158</v>
      </c>
      <c r="D205" s="2" t="s">
        <v>210</v>
      </c>
      <c r="E205" s="2" t="s">
        <v>205</v>
      </c>
      <c r="F205" s="6">
        <v>11.33</v>
      </c>
      <c r="G205" s="6">
        <v>1440</v>
      </c>
      <c r="H205" s="2" t="s">
        <v>100</v>
      </c>
    </row>
    <row r="206" spans="1:8" ht="25" x14ac:dyDescent="0.35">
      <c r="A206" s="4" t="s">
        <v>65</v>
      </c>
      <c r="B206" s="4" t="s">
        <v>157</v>
      </c>
      <c r="C206" s="4" t="s">
        <v>158</v>
      </c>
      <c r="D206" s="4" t="s">
        <v>210</v>
      </c>
      <c r="E206" s="4" t="s">
        <v>206</v>
      </c>
      <c r="F206" s="5">
        <v>10.67</v>
      </c>
      <c r="G206" s="5">
        <v>1440</v>
      </c>
      <c r="H206" s="4" t="s">
        <v>100</v>
      </c>
    </row>
    <row r="207" spans="1:8" ht="25" x14ac:dyDescent="0.35">
      <c r="A207" s="2" t="s">
        <v>65</v>
      </c>
      <c r="B207" s="2" t="s">
        <v>157</v>
      </c>
      <c r="C207" s="2" t="s">
        <v>158</v>
      </c>
      <c r="D207" s="2" t="s">
        <v>211</v>
      </c>
      <c r="E207" s="2" t="s">
        <v>200</v>
      </c>
      <c r="F207" s="6">
        <v>8.73</v>
      </c>
      <c r="G207" s="6">
        <v>1440</v>
      </c>
      <c r="H207" s="2" t="s">
        <v>100</v>
      </c>
    </row>
    <row r="208" spans="1:8" ht="25" x14ac:dyDescent="0.35">
      <c r="A208" s="4" t="s">
        <v>65</v>
      </c>
      <c r="B208" s="4" t="s">
        <v>157</v>
      </c>
      <c r="C208" s="4" t="s">
        <v>158</v>
      </c>
      <c r="D208" s="4" t="s">
        <v>211</v>
      </c>
      <c r="E208" s="4" t="s">
        <v>201</v>
      </c>
      <c r="F208" s="5">
        <v>9</v>
      </c>
      <c r="G208" s="5">
        <v>1440</v>
      </c>
      <c r="H208" s="4" t="s">
        <v>100</v>
      </c>
    </row>
    <row r="209" spans="1:8" ht="25" x14ac:dyDescent="0.35">
      <c r="A209" s="2" t="s">
        <v>65</v>
      </c>
      <c r="B209" s="2" t="s">
        <v>157</v>
      </c>
      <c r="C209" s="2" t="s">
        <v>158</v>
      </c>
      <c r="D209" s="2" t="s">
        <v>211</v>
      </c>
      <c r="E209" s="2" t="s">
        <v>202</v>
      </c>
      <c r="F209" s="6">
        <v>9.27</v>
      </c>
      <c r="G209" s="6">
        <v>1440</v>
      </c>
      <c r="H209" s="2" t="s">
        <v>100</v>
      </c>
    </row>
    <row r="210" spans="1:8" ht="25" x14ac:dyDescent="0.35">
      <c r="A210" s="4" t="s">
        <v>65</v>
      </c>
      <c r="B210" s="4" t="s">
        <v>157</v>
      </c>
      <c r="C210" s="4" t="s">
        <v>158</v>
      </c>
      <c r="D210" s="4" t="s">
        <v>211</v>
      </c>
      <c r="E210" s="4" t="s">
        <v>203</v>
      </c>
      <c r="F210" s="5">
        <v>8.73</v>
      </c>
      <c r="G210" s="5">
        <v>1440</v>
      </c>
      <c r="H210" s="4" t="s">
        <v>100</v>
      </c>
    </row>
    <row r="211" spans="1:8" ht="25" x14ac:dyDescent="0.35">
      <c r="A211" s="2" t="s">
        <v>65</v>
      </c>
      <c r="B211" s="2" t="s">
        <v>157</v>
      </c>
      <c r="C211" s="2" t="s">
        <v>158</v>
      </c>
      <c r="D211" s="2" t="s">
        <v>211</v>
      </c>
      <c r="E211" s="2" t="s">
        <v>204</v>
      </c>
      <c r="F211" s="6">
        <v>9</v>
      </c>
      <c r="G211" s="6">
        <v>1440</v>
      </c>
      <c r="H211" s="2" t="s">
        <v>100</v>
      </c>
    </row>
    <row r="212" spans="1:8" ht="25" x14ac:dyDescent="0.35">
      <c r="A212" s="4" t="s">
        <v>65</v>
      </c>
      <c r="B212" s="4" t="s">
        <v>157</v>
      </c>
      <c r="C212" s="4" t="s">
        <v>158</v>
      </c>
      <c r="D212" s="4" t="s">
        <v>211</v>
      </c>
      <c r="E212" s="4" t="s">
        <v>205</v>
      </c>
      <c r="F212" s="5">
        <v>9.27</v>
      </c>
      <c r="G212" s="5">
        <v>1440</v>
      </c>
      <c r="H212" s="4" t="s">
        <v>100</v>
      </c>
    </row>
    <row r="213" spans="1:8" ht="25" x14ac:dyDescent="0.35">
      <c r="A213" s="2" t="s">
        <v>65</v>
      </c>
      <c r="B213" s="2" t="s">
        <v>157</v>
      </c>
      <c r="C213" s="2" t="s">
        <v>158</v>
      </c>
      <c r="D213" s="2" t="s">
        <v>211</v>
      </c>
      <c r="E213" s="2" t="s">
        <v>206</v>
      </c>
      <c r="F213" s="6">
        <v>8.73</v>
      </c>
      <c r="G213" s="6">
        <v>1440</v>
      </c>
      <c r="H213" s="2" t="s">
        <v>100</v>
      </c>
    </row>
    <row r="214" spans="1:8" ht="25" x14ac:dyDescent="0.35">
      <c r="A214" s="4" t="s">
        <v>65</v>
      </c>
      <c r="B214" s="4" t="s">
        <v>157</v>
      </c>
      <c r="C214" s="4" t="s">
        <v>159</v>
      </c>
      <c r="D214" s="4" t="s">
        <v>199</v>
      </c>
      <c r="E214" s="4" t="s">
        <v>200</v>
      </c>
      <c r="F214" s="5">
        <v>13.773999999999999</v>
      </c>
      <c r="G214" s="5">
        <v>1440</v>
      </c>
      <c r="H214" s="4" t="s">
        <v>101</v>
      </c>
    </row>
    <row r="215" spans="1:8" ht="25" x14ac:dyDescent="0.35">
      <c r="A215" s="2" t="s">
        <v>65</v>
      </c>
      <c r="B215" s="2" t="s">
        <v>157</v>
      </c>
      <c r="C215" s="2" t="s">
        <v>159</v>
      </c>
      <c r="D215" s="2" t="s">
        <v>199</v>
      </c>
      <c r="E215" s="2" t="s">
        <v>201</v>
      </c>
      <c r="F215" s="6">
        <v>14.2</v>
      </c>
      <c r="G215" s="6">
        <v>1440</v>
      </c>
      <c r="H215" s="2" t="s">
        <v>101</v>
      </c>
    </row>
    <row r="216" spans="1:8" ht="25" x14ac:dyDescent="0.35">
      <c r="A216" s="4" t="s">
        <v>65</v>
      </c>
      <c r="B216" s="4" t="s">
        <v>157</v>
      </c>
      <c r="C216" s="4" t="s">
        <v>159</v>
      </c>
      <c r="D216" s="4" t="s">
        <v>199</v>
      </c>
      <c r="E216" s="4" t="s">
        <v>202</v>
      </c>
      <c r="F216" s="5">
        <v>14.625999999999999</v>
      </c>
      <c r="G216" s="5">
        <v>1440</v>
      </c>
      <c r="H216" s="4" t="s">
        <v>101</v>
      </c>
    </row>
    <row r="217" spans="1:8" ht="25" x14ac:dyDescent="0.35">
      <c r="A217" s="2" t="s">
        <v>65</v>
      </c>
      <c r="B217" s="2" t="s">
        <v>157</v>
      </c>
      <c r="C217" s="2" t="s">
        <v>159</v>
      </c>
      <c r="D217" s="2" t="s">
        <v>199</v>
      </c>
      <c r="E217" s="2" t="s">
        <v>203</v>
      </c>
      <c r="F217" s="6">
        <v>13.773999999999999</v>
      </c>
      <c r="G217" s="6">
        <v>1440</v>
      </c>
      <c r="H217" s="2" t="s">
        <v>101</v>
      </c>
    </row>
    <row r="218" spans="1:8" ht="25" x14ac:dyDescent="0.35">
      <c r="A218" s="4" t="s">
        <v>65</v>
      </c>
      <c r="B218" s="4" t="s">
        <v>157</v>
      </c>
      <c r="C218" s="4" t="s">
        <v>159</v>
      </c>
      <c r="D218" s="4" t="s">
        <v>199</v>
      </c>
      <c r="E218" s="4" t="s">
        <v>204</v>
      </c>
      <c r="F218" s="5">
        <v>14.2</v>
      </c>
      <c r="G218" s="5">
        <v>1440</v>
      </c>
      <c r="H218" s="4" t="s">
        <v>101</v>
      </c>
    </row>
    <row r="219" spans="1:8" ht="25" x14ac:dyDescent="0.35">
      <c r="A219" s="2" t="s">
        <v>65</v>
      </c>
      <c r="B219" s="2" t="s">
        <v>157</v>
      </c>
      <c r="C219" s="2" t="s">
        <v>159</v>
      </c>
      <c r="D219" s="2" t="s">
        <v>199</v>
      </c>
      <c r="E219" s="2" t="s">
        <v>205</v>
      </c>
      <c r="F219" s="6">
        <v>14.625999999999999</v>
      </c>
      <c r="G219" s="6">
        <v>1440</v>
      </c>
      <c r="H219" s="2" t="s">
        <v>101</v>
      </c>
    </row>
    <row r="220" spans="1:8" ht="25" x14ac:dyDescent="0.35">
      <c r="A220" s="4" t="s">
        <v>65</v>
      </c>
      <c r="B220" s="4" t="s">
        <v>157</v>
      </c>
      <c r="C220" s="4" t="s">
        <v>159</v>
      </c>
      <c r="D220" s="4" t="s">
        <v>199</v>
      </c>
      <c r="E220" s="4" t="s">
        <v>206</v>
      </c>
      <c r="F220" s="5">
        <v>13.773999999999999</v>
      </c>
      <c r="G220" s="5">
        <v>1440</v>
      </c>
      <c r="H220" s="4" t="s">
        <v>101</v>
      </c>
    </row>
    <row r="221" spans="1:8" ht="25" x14ac:dyDescent="0.35">
      <c r="A221" s="2" t="s">
        <v>65</v>
      </c>
      <c r="B221" s="2" t="s">
        <v>157</v>
      </c>
      <c r="C221" s="2" t="s">
        <v>159</v>
      </c>
      <c r="D221" s="2" t="s">
        <v>207</v>
      </c>
      <c r="E221" s="2" t="s">
        <v>200</v>
      </c>
      <c r="F221" s="6">
        <v>82.45</v>
      </c>
      <c r="G221" s="6">
        <v>1440</v>
      </c>
      <c r="H221" s="2" t="s">
        <v>101</v>
      </c>
    </row>
    <row r="222" spans="1:8" ht="25" x14ac:dyDescent="0.35">
      <c r="A222" s="4" t="s">
        <v>65</v>
      </c>
      <c r="B222" s="4" t="s">
        <v>157</v>
      </c>
      <c r="C222" s="4" t="s">
        <v>159</v>
      </c>
      <c r="D222" s="4" t="s">
        <v>207</v>
      </c>
      <c r="E222" s="4" t="s">
        <v>201</v>
      </c>
      <c r="F222" s="5">
        <v>85</v>
      </c>
      <c r="G222" s="5">
        <v>1440</v>
      </c>
      <c r="H222" s="4" t="s">
        <v>101</v>
      </c>
    </row>
    <row r="223" spans="1:8" ht="25" x14ac:dyDescent="0.35">
      <c r="A223" s="2" t="s">
        <v>65</v>
      </c>
      <c r="B223" s="2" t="s">
        <v>157</v>
      </c>
      <c r="C223" s="2" t="s">
        <v>159</v>
      </c>
      <c r="D223" s="2" t="s">
        <v>207</v>
      </c>
      <c r="E223" s="2" t="s">
        <v>202</v>
      </c>
      <c r="F223" s="6">
        <v>87.55</v>
      </c>
      <c r="G223" s="6">
        <v>1440</v>
      </c>
      <c r="H223" s="2" t="s">
        <v>101</v>
      </c>
    </row>
    <row r="224" spans="1:8" ht="25" x14ac:dyDescent="0.35">
      <c r="A224" s="4" t="s">
        <v>65</v>
      </c>
      <c r="B224" s="4" t="s">
        <v>157</v>
      </c>
      <c r="C224" s="4" t="s">
        <v>159</v>
      </c>
      <c r="D224" s="4" t="s">
        <v>207</v>
      </c>
      <c r="E224" s="4" t="s">
        <v>203</v>
      </c>
      <c r="F224" s="5">
        <v>82.45</v>
      </c>
      <c r="G224" s="5">
        <v>1440</v>
      </c>
      <c r="H224" s="4" t="s">
        <v>101</v>
      </c>
    </row>
    <row r="225" spans="1:8" ht="25" x14ac:dyDescent="0.35">
      <c r="A225" s="2" t="s">
        <v>65</v>
      </c>
      <c r="B225" s="2" t="s">
        <v>157</v>
      </c>
      <c r="C225" s="2" t="s">
        <v>159</v>
      </c>
      <c r="D225" s="2" t="s">
        <v>207</v>
      </c>
      <c r="E225" s="2" t="s">
        <v>204</v>
      </c>
      <c r="F225" s="6">
        <v>85</v>
      </c>
      <c r="G225" s="6">
        <v>1440</v>
      </c>
      <c r="H225" s="2" t="s">
        <v>101</v>
      </c>
    </row>
    <row r="226" spans="1:8" ht="25" x14ac:dyDescent="0.35">
      <c r="A226" s="4" t="s">
        <v>65</v>
      </c>
      <c r="B226" s="4" t="s">
        <v>157</v>
      </c>
      <c r="C226" s="4" t="s">
        <v>159</v>
      </c>
      <c r="D226" s="4" t="s">
        <v>207</v>
      </c>
      <c r="E226" s="4" t="s">
        <v>205</v>
      </c>
      <c r="F226" s="5">
        <v>87.55</v>
      </c>
      <c r="G226" s="5">
        <v>1440</v>
      </c>
      <c r="H226" s="4" t="s">
        <v>101</v>
      </c>
    </row>
    <row r="227" spans="1:8" ht="25" x14ac:dyDescent="0.35">
      <c r="A227" s="2" t="s">
        <v>65</v>
      </c>
      <c r="B227" s="2" t="s">
        <v>157</v>
      </c>
      <c r="C227" s="2" t="s">
        <v>159</v>
      </c>
      <c r="D227" s="2" t="s">
        <v>207</v>
      </c>
      <c r="E227" s="2" t="s">
        <v>206</v>
      </c>
      <c r="F227" s="6">
        <v>82.45</v>
      </c>
      <c r="G227" s="6">
        <v>1440</v>
      </c>
      <c r="H227" s="2" t="s">
        <v>101</v>
      </c>
    </row>
    <row r="228" spans="1:8" ht="25" x14ac:dyDescent="0.35">
      <c r="A228" s="4" t="s">
        <v>65</v>
      </c>
      <c r="B228" s="4" t="s">
        <v>157</v>
      </c>
      <c r="C228" s="4" t="s">
        <v>159</v>
      </c>
      <c r="D228" s="4" t="s">
        <v>208</v>
      </c>
      <c r="E228" s="4" t="s">
        <v>200</v>
      </c>
      <c r="F228" s="5">
        <v>8.73</v>
      </c>
      <c r="G228" s="5">
        <v>1440</v>
      </c>
      <c r="H228" s="4" t="s">
        <v>101</v>
      </c>
    </row>
    <row r="229" spans="1:8" ht="25" x14ac:dyDescent="0.35">
      <c r="A229" s="2" t="s">
        <v>65</v>
      </c>
      <c r="B229" s="2" t="s">
        <v>157</v>
      </c>
      <c r="C229" s="2" t="s">
        <v>159</v>
      </c>
      <c r="D229" s="2" t="s">
        <v>208</v>
      </c>
      <c r="E229" s="2" t="s">
        <v>201</v>
      </c>
      <c r="F229" s="6">
        <v>9</v>
      </c>
      <c r="G229" s="6">
        <v>1440</v>
      </c>
      <c r="H229" s="2" t="s">
        <v>101</v>
      </c>
    </row>
    <row r="230" spans="1:8" ht="25" x14ac:dyDescent="0.35">
      <c r="A230" s="4" t="s">
        <v>65</v>
      </c>
      <c r="B230" s="4" t="s">
        <v>157</v>
      </c>
      <c r="C230" s="4" t="s">
        <v>159</v>
      </c>
      <c r="D230" s="4" t="s">
        <v>208</v>
      </c>
      <c r="E230" s="4" t="s">
        <v>202</v>
      </c>
      <c r="F230" s="5">
        <v>9.27</v>
      </c>
      <c r="G230" s="5">
        <v>1440</v>
      </c>
      <c r="H230" s="4" t="s">
        <v>101</v>
      </c>
    </row>
    <row r="231" spans="1:8" ht="25" x14ac:dyDescent="0.35">
      <c r="A231" s="2" t="s">
        <v>65</v>
      </c>
      <c r="B231" s="2" t="s">
        <v>157</v>
      </c>
      <c r="C231" s="2" t="s">
        <v>159</v>
      </c>
      <c r="D231" s="2" t="s">
        <v>208</v>
      </c>
      <c r="E231" s="2" t="s">
        <v>203</v>
      </c>
      <c r="F231" s="6">
        <v>8.73</v>
      </c>
      <c r="G231" s="6">
        <v>1440</v>
      </c>
      <c r="H231" s="2" t="s">
        <v>101</v>
      </c>
    </row>
    <row r="232" spans="1:8" ht="25" x14ac:dyDescent="0.35">
      <c r="A232" s="4" t="s">
        <v>65</v>
      </c>
      <c r="B232" s="4" t="s">
        <v>157</v>
      </c>
      <c r="C232" s="4" t="s">
        <v>159</v>
      </c>
      <c r="D232" s="4" t="s">
        <v>208</v>
      </c>
      <c r="E232" s="4" t="s">
        <v>204</v>
      </c>
      <c r="F232" s="5">
        <v>9</v>
      </c>
      <c r="G232" s="5">
        <v>1440</v>
      </c>
      <c r="H232" s="4" t="s">
        <v>101</v>
      </c>
    </row>
    <row r="233" spans="1:8" ht="25" x14ac:dyDescent="0.35">
      <c r="A233" s="2" t="s">
        <v>65</v>
      </c>
      <c r="B233" s="2" t="s">
        <v>157</v>
      </c>
      <c r="C233" s="2" t="s">
        <v>159</v>
      </c>
      <c r="D233" s="2" t="s">
        <v>208</v>
      </c>
      <c r="E233" s="2" t="s">
        <v>205</v>
      </c>
      <c r="F233" s="6">
        <v>9.27</v>
      </c>
      <c r="G233" s="6">
        <v>1440</v>
      </c>
      <c r="H233" s="2" t="s">
        <v>101</v>
      </c>
    </row>
    <row r="234" spans="1:8" ht="25" x14ac:dyDescent="0.35">
      <c r="A234" s="4" t="s">
        <v>65</v>
      </c>
      <c r="B234" s="4" t="s">
        <v>157</v>
      </c>
      <c r="C234" s="4" t="s">
        <v>159</v>
      </c>
      <c r="D234" s="4" t="s">
        <v>208</v>
      </c>
      <c r="E234" s="4" t="s">
        <v>206</v>
      </c>
      <c r="F234" s="5">
        <v>8.73</v>
      </c>
      <c r="G234" s="5">
        <v>1440</v>
      </c>
      <c r="H234" s="4" t="s">
        <v>101</v>
      </c>
    </row>
    <row r="235" spans="1:8" ht="25" x14ac:dyDescent="0.35">
      <c r="A235" s="2" t="s">
        <v>65</v>
      </c>
      <c r="B235" s="2" t="s">
        <v>157</v>
      </c>
      <c r="C235" s="2" t="s">
        <v>159</v>
      </c>
      <c r="D235" s="2" t="s">
        <v>209</v>
      </c>
      <c r="E235" s="2" t="s">
        <v>200</v>
      </c>
      <c r="F235" s="6">
        <v>11.64</v>
      </c>
      <c r="G235" s="6">
        <v>1440</v>
      </c>
      <c r="H235" s="2" t="s">
        <v>101</v>
      </c>
    </row>
    <row r="236" spans="1:8" ht="25" x14ac:dyDescent="0.35">
      <c r="A236" s="4" t="s">
        <v>65</v>
      </c>
      <c r="B236" s="4" t="s">
        <v>157</v>
      </c>
      <c r="C236" s="4" t="s">
        <v>159</v>
      </c>
      <c r="D236" s="4" t="s">
        <v>209</v>
      </c>
      <c r="E236" s="4" t="s">
        <v>201</v>
      </c>
      <c r="F236" s="5">
        <v>12</v>
      </c>
      <c r="G236" s="5">
        <v>1440</v>
      </c>
      <c r="H236" s="4" t="s">
        <v>101</v>
      </c>
    </row>
    <row r="237" spans="1:8" ht="25" x14ac:dyDescent="0.35">
      <c r="A237" s="2" t="s">
        <v>65</v>
      </c>
      <c r="B237" s="2" t="s">
        <v>157</v>
      </c>
      <c r="C237" s="2" t="s">
        <v>159</v>
      </c>
      <c r="D237" s="2" t="s">
        <v>209</v>
      </c>
      <c r="E237" s="2" t="s">
        <v>202</v>
      </c>
      <c r="F237" s="6">
        <v>12.36</v>
      </c>
      <c r="G237" s="6">
        <v>1440</v>
      </c>
      <c r="H237" s="2" t="s">
        <v>101</v>
      </c>
    </row>
    <row r="238" spans="1:8" ht="25" x14ac:dyDescent="0.35">
      <c r="A238" s="4" t="s">
        <v>65</v>
      </c>
      <c r="B238" s="4" t="s">
        <v>157</v>
      </c>
      <c r="C238" s="4" t="s">
        <v>159</v>
      </c>
      <c r="D238" s="4" t="s">
        <v>209</v>
      </c>
      <c r="E238" s="4" t="s">
        <v>203</v>
      </c>
      <c r="F238" s="5">
        <v>11.64</v>
      </c>
      <c r="G238" s="5">
        <v>1440</v>
      </c>
      <c r="H238" s="4" t="s">
        <v>101</v>
      </c>
    </row>
    <row r="239" spans="1:8" ht="25" x14ac:dyDescent="0.35">
      <c r="A239" s="2" t="s">
        <v>65</v>
      </c>
      <c r="B239" s="2" t="s">
        <v>157</v>
      </c>
      <c r="C239" s="2" t="s">
        <v>159</v>
      </c>
      <c r="D239" s="2" t="s">
        <v>209</v>
      </c>
      <c r="E239" s="2" t="s">
        <v>204</v>
      </c>
      <c r="F239" s="6">
        <v>12</v>
      </c>
      <c r="G239" s="6">
        <v>1440</v>
      </c>
      <c r="H239" s="2" t="s">
        <v>101</v>
      </c>
    </row>
    <row r="240" spans="1:8" ht="25" x14ac:dyDescent="0.35">
      <c r="A240" s="4" t="s">
        <v>65</v>
      </c>
      <c r="B240" s="4" t="s">
        <v>157</v>
      </c>
      <c r="C240" s="4" t="s">
        <v>159</v>
      </c>
      <c r="D240" s="4" t="s">
        <v>209</v>
      </c>
      <c r="E240" s="4" t="s">
        <v>205</v>
      </c>
      <c r="F240" s="5">
        <v>12.36</v>
      </c>
      <c r="G240" s="5">
        <v>1440</v>
      </c>
      <c r="H240" s="4" t="s">
        <v>101</v>
      </c>
    </row>
    <row r="241" spans="1:8" ht="25" x14ac:dyDescent="0.35">
      <c r="A241" s="2" t="s">
        <v>65</v>
      </c>
      <c r="B241" s="2" t="s">
        <v>157</v>
      </c>
      <c r="C241" s="2" t="s">
        <v>159</v>
      </c>
      <c r="D241" s="2" t="s">
        <v>209</v>
      </c>
      <c r="E241" s="2" t="s">
        <v>206</v>
      </c>
      <c r="F241" s="6">
        <v>11.64</v>
      </c>
      <c r="G241" s="6">
        <v>1440</v>
      </c>
      <c r="H241" s="2" t="s">
        <v>101</v>
      </c>
    </row>
    <row r="242" spans="1:8" ht="25" x14ac:dyDescent="0.35">
      <c r="A242" s="4" t="s">
        <v>65</v>
      </c>
      <c r="B242" s="4" t="s">
        <v>157</v>
      </c>
      <c r="C242" s="4" t="s">
        <v>159</v>
      </c>
      <c r="D242" s="4" t="s">
        <v>210</v>
      </c>
      <c r="E242" s="4" t="s">
        <v>200</v>
      </c>
      <c r="F242" s="5">
        <v>5.82</v>
      </c>
      <c r="G242" s="5">
        <v>1440</v>
      </c>
      <c r="H242" s="4" t="s">
        <v>101</v>
      </c>
    </row>
    <row r="243" spans="1:8" ht="25" x14ac:dyDescent="0.35">
      <c r="A243" s="2" t="s">
        <v>65</v>
      </c>
      <c r="B243" s="2" t="s">
        <v>157</v>
      </c>
      <c r="C243" s="2" t="s">
        <v>159</v>
      </c>
      <c r="D243" s="2" t="s">
        <v>210</v>
      </c>
      <c r="E243" s="2" t="s">
        <v>201</v>
      </c>
      <c r="F243" s="6">
        <v>6</v>
      </c>
      <c r="G243" s="6">
        <v>1440</v>
      </c>
      <c r="H243" s="2" t="s">
        <v>101</v>
      </c>
    </row>
    <row r="244" spans="1:8" ht="25" x14ac:dyDescent="0.35">
      <c r="A244" s="4" t="s">
        <v>65</v>
      </c>
      <c r="B244" s="4" t="s">
        <v>157</v>
      </c>
      <c r="C244" s="4" t="s">
        <v>159</v>
      </c>
      <c r="D244" s="4" t="s">
        <v>210</v>
      </c>
      <c r="E244" s="4" t="s">
        <v>202</v>
      </c>
      <c r="F244" s="5">
        <v>6.18</v>
      </c>
      <c r="G244" s="5">
        <v>1440</v>
      </c>
      <c r="H244" s="4" t="s">
        <v>101</v>
      </c>
    </row>
    <row r="245" spans="1:8" ht="25" x14ac:dyDescent="0.35">
      <c r="A245" s="2" t="s">
        <v>65</v>
      </c>
      <c r="B245" s="2" t="s">
        <v>157</v>
      </c>
      <c r="C245" s="2" t="s">
        <v>159</v>
      </c>
      <c r="D245" s="2" t="s">
        <v>210</v>
      </c>
      <c r="E245" s="2" t="s">
        <v>203</v>
      </c>
      <c r="F245" s="6">
        <v>5.82</v>
      </c>
      <c r="G245" s="6">
        <v>1440</v>
      </c>
      <c r="H245" s="2" t="s">
        <v>101</v>
      </c>
    </row>
    <row r="246" spans="1:8" ht="25" x14ac:dyDescent="0.35">
      <c r="A246" s="4" t="s">
        <v>65</v>
      </c>
      <c r="B246" s="4" t="s">
        <v>157</v>
      </c>
      <c r="C246" s="4" t="s">
        <v>159</v>
      </c>
      <c r="D246" s="4" t="s">
        <v>210</v>
      </c>
      <c r="E246" s="4" t="s">
        <v>204</v>
      </c>
      <c r="F246" s="5">
        <v>6</v>
      </c>
      <c r="G246" s="5">
        <v>1440</v>
      </c>
      <c r="H246" s="4" t="s">
        <v>101</v>
      </c>
    </row>
    <row r="247" spans="1:8" ht="25" x14ac:dyDescent="0.35">
      <c r="A247" s="2" t="s">
        <v>65</v>
      </c>
      <c r="B247" s="2" t="s">
        <v>157</v>
      </c>
      <c r="C247" s="2" t="s">
        <v>159</v>
      </c>
      <c r="D247" s="2" t="s">
        <v>210</v>
      </c>
      <c r="E247" s="2" t="s">
        <v>205</v>
      </c>
      <c r="F247" s="6">
        <v>6.18</v>
      </c>
      <c r="G247" s="6">
        <v>1440</v>
      </c>
      <c r="H247" s="2" t="s">
        <v>101</v>
      </c>
    </row>
    <row r="248" spans="1:8" ht="25" x14ac:dyDescent="0.35">
      <c r="A248" s="4" t="s">
        <v>65</v>
      </c>
      <c r="B248" s="4" t="s">
        <v>157</v>
      </c>
      <c r="C248" s="4" t="s">
        <v>159</v>
      </c>
      <c r="D248" s="4" t="s">
        <v>210</v>
      </c>
      <c r="E248" s="4" t="s">
        <v>206</v>
      </c>
      <c r="F248" s="5">
        <v>5.82</v>
      </c>
      <c r="G248" s="5">
        <v>1440</v>
      </c>
      <c r="H248" s="4" t="s">
        <v>101</v>
      </c>
    </row>
    <row r="249" spans="1:8" ht="25" x14ac:dyDescent="0.35">
      <c r="A249" s="2" t="s">
        <v>65</v>
      </c>
      <c r="B249" s="2" t="s">
        <v>157</v>
      </c>
      <c r="C249" s="2" t="s">
        <v>159</v>
      </c>
      <c r="D249" s="2" t="s">
        <v>211</v>
      </c>
      <c r="E249" s="2" t="s">
        <v>200</v>
      </c>
      <c r="F249" s="6">
        <v>3.88</v>
      </c>
      <c r="G249" s="6">
        <v>1440</v>
      </c>
      <c r="H249" s="2" t="s">
        <v>101</v>
      </c>
    </row>
    <row r="250" spans="1:8" ht="25" x14ac:dyDescent="0.35">
      <c r="A250" s="4" t="s">
        <v>65</v>
      </c>
      <c r="B250" s="4" t="s">
        <v>157</v>
      </c>
      <c r="C250" s="4" t="s">
        <v>159</v>
      </c>
      <c r="D250" s="4" t="s">
        <v>211</v>
      </c>
      <c r="E250" s="4" t="s">
        <v>201</v>
      </c>
      <c r="F250" s="5">
        <v>4</v>
      </c>
      <c r="G250" s="5">
        <v>1440</v>
      </c>
      <c r="H250" s="4" t="s">
        <v>101</v>
      </c>
    </row>
    <row r="251" spans="1:8" ht="25" x14ac:dyDescent="0.35">
      <c r="A251" s="2" t="s">
        <v>65</v>
      </c>
      <c r="B251" s="2" t="s">
        <v>157</v>
      </c>
      <c r="C251" s="2" t="s">
        <v>159</v>
      </c>
      <c r="D251" s="2" t="s">
        <v>211</v>
      </c>
      <c r="E251" s="2" t="s">
        <v>202</v>
      </c>
      <c r="F251" s="6">
        <v>4.12</v>
      </c>
      <c r="G251" s="6">
        <v>1440</v>
      </c>
      <c r="H251" s="2" t="s">
        <v>101</v>
      </c>
    </row>
    <row r="252" spans="1:8" ht="25" x14ac:dyDescent="0.35">
      <c r="A252" s="4" t="s">
        <v>65</v>
      </c>
      <c r="B252" s="4" t="s">
        <v>157</v>
      </c>
      <c r="C252" s="4" t="s">
        <v>159</v>
      </c>
      <c r="D252" s="4" t="s">
        <v>211</v>
      </c>
      <c r="E252" s="4" t="s">
        <v>203</v>
      </c>
      <c r="F252" s="5">
        <v>3.88</v>
      </c>
      <c r="G252" s="5">
        <v>1440</v>
      </c>
      <c r="H252" s="4" t="s">
        <v>101</v>
      </c>
    </row>
    <row r="253" spans="1:8" ht="25" x14ac:dyDescent="0.35">
      <c r="A253" s="2" t="s">
        <v>65</v>
      </c>
      <c r="B253" s="2" t="s">
        <v>157</v>
      </c>
      <c r="C253" s="2" t="s">
        <v>159</v>
      </c>
      <c r="D253" s="2" t="s">
        <v>211</v>
      </c>
      <c r="E253" s="2" t="s">
        <v>204</v>
      </c>
      <c r="F253" s="6">
        <v>4</v>
      </c>
      <c r="G253" s="6">
        <v>1440</v>
      </c>
      <c r="H253" s="2" t="s">
        <v>101</v>
      </c>
    </row>
    <row r="254" spans="1:8" ht="25" x14ac:dyDescent="0.35">
      <c r="A254" s="4" t="s">
        <v>65</v>
      </c>
      <c r="B254" s="4" t="s">
        <v>157</v>
      </c>
      <c r="C254" s="4" t="s">
        <v>159</v>
      </c>
      <c r="D254" s="4" t="s">
        <v>211</v>
      </c>
      <c r="E254" s="4" t="s">
        <v>205</v>
      </c>
      <c r="F254" s="5">
        <v>4.12</v>
      </c>
      <c r="G254" s="5">
        <v>1440</v>
      </c>
      <c r="H254" s="4" t="s">
        <v>101</v>
      </c>
    </row>
    <row r="255" spans="1:8" ht="25" x14ac:dyDescent="0.35">
      <c r="A255" s="2" t="s">
        <v>65</v>
      </c>
      <c r="B255" s="2" t="s">
        <v>157</v>
      </c>
      <c r="C255" s="2" t="s">
        <v>159</v>
      </c>
      <c r="D255" s="2" t="s">
        <v>211</v>
      </c>
      <c r="E255" s="2" t="s">
        <v>206</v>
      </c>
      <c r="F255" s="6">
        <v>3.88</v>
      </c>
      <c r="G255" s="6">
        <v>1440</v>
      </c>
      <c r="H255" s="2" t="s">
        <v>101</v>
      </c>
    </row>
    <row r="256" spans="1:8" ht="25" x14ac:dyDescent="0.35">
      <c r="A256" s="4" t="s">
        <v>67</v>
      </c>
      <c r="B256" s="4" t="s">
        <v>168</v>
      </c>
      <c r="C256" s="4" t="s">
        <v>169</v>
      </c>
      <c r="D256" s="4" t="s">
        <v>199</v>
      </c>
      <c r="E256" s="4" t="s">
        <v>200</v>
      </c>
      <c r="F256" s="5">
        <v>3.0070000000000001</v>
      </c>
      <c r="G256" s="5">
        <v>1440</v>
      </c>
      <c r="H256" s="4" t="s">
        <v>106</v>
      </c>
    </row>
    <row r="257" spans="1:8" ht="25" x14ac:dyDescent="0.35">
      <c r="A257" s="2" t="s">
        <v>67</v>
      </c>
      <c r="B257" s="2" t="s">
        <v>168</v>
      </c>
      <c r="C257" s="2" t="s">
        <v>169</v>
      </c>
      <c r="D257" s="2" t="s">
        <v>199</v>
      </c>
      <c r="E257" s="2" t="s">
        <v>201</v>
      </c>
      <c r="F257" s="6">
        <v>3.1</v>
      </c>
      <c r="G257" s="6">
        <v>1440</v>
      </c>
      <c r="H257" s="2" t="s">
        <v>106</v>
      </c>
    </row>
    <row r="258" spans="1:8" ht="25" x14ac:dyDescent="0.35">
      <c r="A258" s="4" t="s">
        <v>67</v>
      </c>
      <c r="B258" s="4" t="s">
        <v>168</v>
      </c>
      <c r="C258" s="4" t="s">
        <v>169</v>
      </c>
      <c r="D258" s="4" t="s">
        <v>199</v>
      </c>
      <c r="E258" s="4" t="s">
        <v>202</v>
      </c>
      <c r="F258" s="5">
        <v>3.1930000000000001</v>
      </c>
      <c r="G258" s="5">
        <v>1440</v>
      </c>
      <c r="H258" s="4" t="s">
        <v>106</v>
      </c>
    </row>
    <row r="259" spans="1:8" ht="25" x14ac:dyDescent="0.35">
      <c r="A259" s="2" t="s">
        <v>67</v>
      </c>
      <c r="B259" s="2" t="s">
        <v>168</v>
      </c>
      <c r="C259" s="2" t="s">
        <v>169</v>
      </c>
      <c r="D259" s="2" t="s">
        <v>199</v>
      </c>
      <c r="E259" s="2" t="s">
        <v>203</v>
      </c>
      <c r="F259" s="6">
        <v>3.0070000000000001</v>
      </c>
      <c r="G259" s="6">
        <v>1440</v>
      </c>
      <c r="H259" s="2" t="s">
        <v>106</v>
      </c>
    </row>
    <row r="260" spans="1:8" ht="25" x14ac:dyDescent="0.35">
      <c r="A260" s="4" t="s">
        <v>67</v>
      </c>
      <c r="B260" s="4" t="s">
        <v>168</v>
      </c>
      <c r="C260" s="4" t="s">
        <v>169</v>
      </c>
      <c r="D260" s="4" t="s">
        <v>199</v>
      </c>
      <c r="E260" s="4" t="s">
        <v>204</v>
      </c>
      <c r="F260" s="5">
        <v>3.1</v>
      </c>
      <c r="G260" s="5">
        <v>1440</v>
      </c>
      <c r="H260" s="4" t="s">
        <v>106</v>
      </c>
    </row>
    <row r="261" spans="1:8" ht="25" x14ac:dyDescent="0.35">
      <c r="A261" s="2" t="s">
        <v>67</v>
      </c>
      <c r="B261" s="2" t="s">
        <v>168</v>
      </c>
      <c r="C261" s="2" t="s">
        <v>169</v>
      </c>
      <c r="D261" s="2" t="s">
        <v>199</v>
      </c>
      <c r="E261" s="2" t="s">
        <v>205</v>
      </c>
      <c r="F261" s="6">
        <v>3.1930000000000001</v>
      </c>
      <c r="G261" s="6">
        <v>1440</v>
      </c>
      <c r="H261" s="2" t="s">
        <v>106</v>
      </c>
    </row>
    <row r="262" spans="1:8" ht="25" x14ac:dyDescent="0.35">
      <c r="A262" s="4" t="s">
        <v>67</v>
      </c>
      <c r="B262" s="4" t="s">
        <v>168</v>
      </c>
      <c r="C262" s="4" t="s">
        <v>169</v>
      </c>
      <c r="D262" s="4" t="s">
        <v>199</v>
      </c>
      <c r="E262" s="4" t="s">
        <v>206</v>
      </c>
      <c r="F262" s="5">
        <v>3.0070000000000001</v>
      </c>
      <c r="G262" s="5">
        <v>1440</v>
      </c>
      <c r="H262" s="4" t="s">
        <v>106</v>
      </c>
    </row>
    <row r="263" spans="1:8" ht="25" x14ac:dyDescent="0.35">
      <c r="A263" s="2" t="s">
        <v>67</v>
      </c>
      <c r="B263" s="2" t="s">
        <v>168</v>
      </c>
      <c r="C263" s="2" t="s">
        <v>169</v>
      </c>
      <c r="D263" s="2" t="s">
        <v>207</v>
      </c>
      <c r="E263" s="2" t="s">
        <v>200</v>
      </c>
      <c r="F263" s="6">
        <v>85.36</v>
      </c>
      <c r="G263" s="6">
        <v>1440</v>
      </c>
      <c r="H263" s="2" t="s">
        <v>106</v>
      </c>
    </row>
    <row r="264" spans="1:8" ht="25" x14ac:dyDescent="0.35">
      <c r="A264" s="4" t="s">
        <v>67</v>
      </c>
      <c r="B264" s="4" t="s">
        <v>168</v>
      </c>
      <c r="C264" s="4" t="s">
        <v>169</v>
      </c>
      <c r="D264" s="4" t="s">
        <v>207</v>
      </c>
      <c r="E264" s="4" t="s">
        <v>201</v>
      </c>
      <c r="F264" s="5">
        <v>88</v>
      </c>
      <c r="G264" s="5">
        <v>1440</v>
      </c>
      <c r="H264" s="4" t="s">
        <v>106</v>
      </c>
    </row>
    <row r="265" spans="1:8" ht="25" x14ac:dyDescent="0.35">
      <c r="A265" s="2" t="s">
        <v>67</v>
      </c>
      <c r="B265" s="2" t="s">
        <v>168</v>
      </c>
      <c r="C265" s="2" t="s">
        <v>169</v>
      </c>
      <c r="D265" s="2" t="s">
        <v>207</v>
      </c>
      <c r="E265" s="2" t="s">
        <v>202</v>
      </c>
      <c r="F265" s="6">
        <v>90.64</v>
      </c>
      <c r="G265" s="6">
        <v>1440</v>
      </c>
      <c r="H265" s="2" t="s">
        <v>106</v>
      </c>
    </row>
    <row r="266" spans="1:8" ht="25" x14ac:dyDescent="0.35">
      <c r="A266" s="4" t="s">
        <v>67</v>
      </c>
      <c r="B266" s="4" t="s">
        <v>168</v>
      </c>
      <c r="C266" s="4" t="s">
        <v>169</v>
      </c>
      <c r="D266" s="4" t="s">
        <v>207</v>
      </c>
      <c r="E266" s="4" t="s">
        <v>203</v>
      </c>
      <c r="F266" s="5">
        <v>85.36</v>
      </c>
      <c r="G266" s="5">
        <v>1440</v>
      </c>
      <c r="H266" s="4" t="s">
        <v>106</v>
      </c>
    </row>
    <row r="267" spans="1:8" ht="25" x14ac:dyDescent="0.35">
      <c r="A267" s="2" t="s">
        <v>67</v>
      </c>
      <c r="B267" s="2" t="s">
        <v>168</v>
      </c>
      <c r="C267" s="2" t="s">
        <v>169</v>
      </c>
      <c r="D267" s="2" t="s">
        <v>207</v>
      </c>
      <c r="E267" s="2" t="s">
        <v>204</v>
      </c>
      <c r="F267" s="6">
        <v>88</v>
      </c>
      <c r="G267" s="6">
        <v>1440</v>
      </c>
      <c r="H267" s="2" t="s">
        <v>106</v>
      </c>
    </row>
    <row r="268" spans="1:8" ht="25" x14ac:dyDescent="0.35">
      <c r="A268" s="4" t="s">
        <v>67</v>
      </c>
      <c r="B268" s="4" t="s">
        <v>168</v>
      </c>
      <c r="C268" s="4" t="s">
        <v>169</v>
      </c>
      <c r="D268" s="4" t="s">
        <v>207</v>
      </c>
      <c r="E268" s="4" t="s">
        <v>205</v>
      </c>
      <c r="F268" s="5">
        <v>90.64</v>
      </c>
      <c r="G268" s="5">
        <v>1440</v>
      </c>
      <c r="H268" s="4" t="s">
        <v>106</v>
      </c>
    </row>
    <row r="269" spans="1:8" ht="25" x14ac:dyDescent="0.35">
      <c r="A269" s="2" t="s">
        <v>67</v>
      </c>
      <c r="B269" s="2" t="s">
        <v>168</v>
      </c>
      <c r="C269" s="2" t="s">
        <v>169</v>
      </c>
      <c r="D269" s="2" t="s">
        <v>207</v>
      </c>
      <c r="E269" s="2" t="s">
        <v>206</v>
      </c>
      <c r="F269" s="6">
        <v>85.36</v>
      </c>
      <c r="G269" s="6">
        <v>1440</v>
      </c>
      <c r="H269" s="2" t="s">
        <v>106</v>
      </c>
    </row>
    <row r="270" spans="1:8" ht="25" x14ac:dyDescent="0.35">
      <c r="A270" s="4" t="s">
        <v>67</v>
      </c>
      <c r="B270" s="4" t="s">
        <v>168</v>
      </c>
      <c r="C270" s="4" t="s">
        <v>169</v>
      </c>
      <c r="D270" s="4" t="s">
        <v>208</v>
      </c>
      <c r="E270" s="4" t="s">
        <v>200</v>
      </c>
      <c r="F270" s="5">
        <v>1.94</v>
      </c>
      <c r="G270" s="5">
        <v>1440</v>
      </c>
      <c r="H270" s="4" t="s">
        <v>106</v>
      </c>
    </row>
    <row r="271" spans="1:8" ht="25" x14ac:dyDescent="0.35">
      <c r="A271" s="2" t="s">
        <v>67</v>
      </c>
      <c r="B271" s="2" t="s">
        <v>168</v>
      </c>
      <c r="C271" s="2" t="s">
        <v>169</v>
      </c>
      <c r="D271" s="2" t="s">
        <v>208</v>
      </c>
      <c r="E271" s="2" t="s">
        <v>201</v>
      </c>
      <c r="F271" s="6">
        <v>2</v>
      </c>
      <c r="G271" s="6">
        <v>1440</v>
      </c>
      <c r="H271" s="2" t="s">
        <v>106</v>
      </c>
    </row>
    <row r="272" spans="1:8" ht="25" x14ac:dyDescent="0.35">
      <c r="A272" s="4" t="s">
        <v>67</v>
      </c>
      <c r="B272" s="4" t="s">
        <v>168</v>
      </c>
      <c r="C272" s="4" t="s">
        <v>169</v>
      </c>
      <c r="D272" s="4" t="s">
        <v>208</v>
      </c>
      <c r="E272" s="4" t="s">
        <v>202</v>
      </c>
      <c r="F272" s="5">
        <v>2.06</v>
      </c>
      <c r="G272" s="5">
        <v>1440</v>
      </c>
      <c r="H272" s="4" t="s">
        <v>106</v>
      </c>
    </row>
    <row r="273" spans="1:8" ht="25" x14ac:dyDescent="0.35">
      <c r="A273" s="2" t="s">
        <v>67</v>
      </c>
      <c r="B273" s="2" t="s">
        <v>168</v>
      </c>
      <c r="C273" s="2" t="s">
        <v>169</v>
      </c>
      <c r="D273" s="2" t="s">
        <v>208</v>
      </c>
      <c r="E273" s="2" t="s">
        <v>203</v>
      </c>
      <c r="F273" s="6">
        <v>1.94</v>
      </c>
      <c r="G273" s="6">
        <v>1440</v>
      </c>
      <c r="H273" s="2" t="s">
        <v>106</v>
      </c>
    </row>
    <row r="274" spans="1:8" ht="25" x14ac:dyDescent="0.35">
      <c r="A274" s="4" t="s">
        <v>67</v>
      </c>
      <c r="B274" s="4" t="s">
        <v>168</v>
      </c>
      <c r="C274" s="4" t="s">
        <v>169</v>
      </c>
      <c r="D274" s="4" t="s">
        <v>208</v>
      </c>
      <c r="E274" s="4" t="s">
        <v>204</v>
      </c>
      <c r="F274" s="5">
        <v>2</v>
      </c>
      <c r="G274" s="5">
        <v>1440</v>
      </c>
      <c r="H274" s="4" t="s">
        <v>106</v>
      </c>
    </row>
    <row r="275" spans="1:8" ht="25" x14ac:dyDescent="0.35">
      <c r="A275" s="2" t="s">
        <v>67</v>
      </c>
      <c r="B275" s="2" t="s">
        <v>168</v>
      </c>
      <c r="C275" s="2" t="s">
        <v>169</v>
      </c>
      <c r="D275" s="2" t="s">
        <v>208</v>
      </c>
      <c r="E275" s="2" t="s">
        <v>205</v>
      </c>
      <c r="F275" s="6">
        <v>2.06</v>
      </c>
      <c r="G275" s="6">
        <v>1440</v>
      </c>
      <c r="H275" s="2" t="s">
        <v>106</v>
      </c>
    </row>
    <row r="276" spans="1:8" ht="25" x14ac:dyDescent="0.35">
      <c r="A276" s="4" t="s">
        <v>67</v>
      </c>
      <c r="B276" s="4" t="s">
        <v>168</v>
      </c>
      <c r="C276" s="4" t="s">
        <v>169</v>
      </c>
      <c r="D276" s="4" t="s">
        <v>208</v>
      </c>
      <c r="E276" s="4" t="s">
        <v>206</v>
      </c>
      <c r="F276" s="5">
        <v>1.94</v>
      </c>
      <c r="G276" s="5">
        <v>1440</v>
      </c>
      <c r="H276" s="4" t="s">
        <v>106</v>
      </c>
    </row>
    <row r="277" spans="1:8" ht="25" x14ac:dyDescent="0.35">
      <c r="A277" s="2" t="s">
        <v>67</v>
      </c>
      <c r="B277" s="2" t="s">
        <v>168</v>
      </c>
      <c r="C277" s="2" t="s">
        <v>169</v>
      </c>
      <c r="D277" s="2" t="s">
        <v>209</v>
      </c>
      <c r="E277" s="2" t="s">
        <v>200</v>
      </c>
      <c r="F277" s="6">
        <v>1.94</v>
      </c>
      <c r="G277" s="6">
        <v>1440</v>
      </c>
      <c r="H277" s="2" t="s">
        <v>106</v>
      </c>
    </row>
    <row r="278" spans="1:8" ht="25" x14ac:dyDescent="0.35">
      <c r="A278" s="4" t="s">
        <v>67</v>
      </c>
      <c r="B278" s="4" t="s">
        <v>168</v>
      </c>
      <c r="C278" s="4" t="s">
        <v>169</v>
      </c>
      <c r="D278" s="4" t="s">
        <v>209</v>
      </c>
      <c r="E278" s="4" t="s">
        <v>201</v>
      </c>
      <c r="F278" s="5">
        <v>2</v>
      </c>
      <c r="G278" s="5">
        <v>1440</v>
      </c>
      <c r="H278" s="4" t="s">
        <v>106</v>
      </c>
    </row>
    <row r="279" spans="1:8" ht="25" x14ac:dyDescent="0.35">
      <c r="A279" s="2" t="s">
        <v>67</v>
      </c>
      <c r="B279" s="2" t="s">
        <v>168</v>
      </c>
      <c r="C279" s="2" t="s">
        <v>169</v>
      </c>
      <c r="D279" s="2" t="s">
        <v>209</v>
      </c>
      <c r="E279" s="2" t="s">
        <v>202</v>
      </c>
      <c r="F279" s="6">
        <v>2.06</v>
      </c>
      <c r="G279" s="6">
        <v>1440</v>
      </c>
      <c r="H279" s="2" t="s">
        <v>106</v>
      </c>
    </row>
    <row r="280" spans="1:8" ht="25" x14ac:dyDescent="0.35">
      <c r="A280" s="4" t="s">
        <v>67</v>
      </c>
      <c r="B280" s="4" t="s">
        <v>168</v>
      </c>
      <c r="C280" s="4" t="s">
        <v>169</v>
      </c>
      <c r="D280" s="4" t="s">
        <v>209</v>
      </c>
      <c r="E280" s="4" t="s">
        <v>203</v>
      </c>
      <c r="F280" s="5">
        <v>1.94</v>
      </c>
      <c r="G280" s="5">
        <v>1440</v>
      </c>
      <c r="H280" s="4" t="s">
        <v>106</v>
      </c>
    </row>
    <row r="281" spans="1:8" ht="25" x14ac:dyDescent="0.35">
      <c r="A281" s="2" t="s">
        <v>67</v>
      </c>
      <c r="B281" s="2" t="s">
        <v>168</v>
      </c>
      <c r="C281" s="2" t="s">
        <v>169</v>
      </c>
      <c r="D281" s="2" t="s">
        <v>209</v>
      </c>
      <c r="E281" s="2" t="s">
        <v>204</v>
      </c>
      <c r="F281" s="6">
        <v>2</v>
      </c>
      <c r="G281" s="6">
        <v>1440</v>
      </c>
      <c r="H281" s="2" t="s">
        <v>106</v>
      </c>
    </row>
    <row r="282" spans="1:8" ht="25" x14ac:dyDescent="0.35">
      <c r="A282" s="4" t="s">
        <v>67</v>
      </c>
      <c r="B282" s="4" t="s">
        <v>168</v>
      </c>
      <c r="C282" s="4" t="s">
        <v>169</v>
      </c>
      <c r="D282" s="4" t="s">
        <v>209</v>
      </c>
      <c r="E282" s="4" t="s">
        <v>205</v>
      </c>
      <c r="F282" s="5">
        <v>2.06</v>
      </c>
      <c r="G282" s="5">
        <v>1440</v>
      </c>
      <c r="H282" s="4" t="s">
        <v>106</v>
      </c>
    </row>
    <row r="283" spans="1:8" ht="25" x14ac:dyDescent="0.35">
      <c r="A283" s="2" t="s">
        <v>67</v>
      </c>
      <c r="B283" s="2" t="s">
        <v>168</v>
      </c>
      <c r="C283" s="2" t="s">
        <v>169</v>
      </c>
      <c r="D283" s="2" t="s">
        <v>209</v>
      </c>
      <c r="E283" s="2" t="s">
        <v>206</v>
      </c>
      <c r="F283" s="6">
        <v>1.94</v>
      </c>
      <c r="G283" s="6">
        <v>1440</v>
      </c>
      <c r="H283" s="2" t="s">
        <v>106</v>
      </c>
    </row>
    <row r="284" spans="1:8" ht="25" x14ac:dyDescent="0.35">
      <c r="A284" s="4" t="s">
        <v>67</v>
      </c>
      <c r="B284" s="4" t="s">
        <v>168</v>
      </c>
      <c r="C284" s="4" t="s">
        <v>169</v>
      </c>
      <c r="D284" s="4" t="s">
        <v>210</v>
      </c>
      <c r="E284" s="4" t="s">
        <v>200</v>
      </c>
      <c r="F284" s="5">
        <v>0.97</v>
      </c>
      <c r="G284" s="5">
        <v>1440</v>
      </c>
      <c r="H284" s="4" t="s">
        <v>106</v>
      </c>
    </row>
    <row r="285" spans="1:8" ht="25" x14ac:dyDescent="0.35">
      <c r="A285" s="2" t="s">
        <v>67</v>
      </c>
      <c r="B285" s="2" t="s">
        <v>168</v>
      </c>
      <c r="C285" s="2" t="s">
        <v>169</v>
      </c>
      <c r="D285" s="2" t="s">
        <v>210</v>
      </c>
      <c r="E285" s="2" t="s">
        <v>201</v>
      </c>
      <c r="F285" s="6">
        <v>1</v>
      </c>
      <c r="G285" s="6">
        <v>1440</v>
      </c>
      <c r="H285" s="2" t="s">
        <v>106</v>
      </c>
    </row>
    <row r="286" spans="1:8" ht="25" x14ac:dyDescent="0.35">
      <c r="A286" s="4" t="s">
        <v>67</v>
      </c>
      <c r="B286" s="4" t="s">
        <v>168</v>
      </c>
      <c r="C286" s="4" t="s">
        <v>169</v>
      </c>
      <c r="D286" s="4" t="s">
        <v>210</v>
      </c>
      <c r="E286" s="4" t="s">
        <v>202</v>
      </c>
      <c r="F286" s="5">
        <v>1.03</v>
      </c>
      <c r="G286" s="5">
        <v>1440</v>
      </c>
      <c r="H286" s="4" t="s">
        <v>106</v>
      </c>
    </row>
    <row r="287" spans="1:8" ht="25" x14ac:dyDescent="0.35">
      <c r="A287" s="2" t="s">
        <v>67</v>
      </c>
      <c r="B287" s="2" t="s">
        <v>168</v>
      </c>
      <c r="C287" s="2" t="s">
        <v>169</v>
      </c>
      <c r="D287" s="2" t="s">
        <v>210</v>
      </c>
      <c r="E287" s="2" t="s">
        <v>203</v>
      </c>
      <c r="F287" s="6">
        <v>0.97</v>
      </c>
      <c r="G287" s="6">
        <v>1440</v>
      </c>
      <c r="H287" s="2" t="s">
        <v>106</v>
      </c>
    </row>
    <row r="288" spans="1:8" ht="25" x14ac:dyDescent="0.35">
      <c r="A288" s="4" t="s">
        <v>67</v>
      </c>
      <c r="B288" s="4" t="s">
        <v>168</v>
      </c>
      <c r="C288" s="4" t="s">
        <v>169</v>
      </c>
      <c r="D288" s="4" t="s">
        <v>210</v>
      </c>
      <c r="E288" s="4" t="s">
        <v>204</v>
      </c>
      <c r="F288" s="5">
        <v>1</v>
      </c>
      <c r="G288" s="5">
        <v>1440</v>
      </c>
      <c r="H288" s="4" t="s">
        <v>106</v>
      </c>
    </row>
    <row r="289" spans="1:8" ht="25" x14ac:dyDescent="0.35">
      <c r="A289" s="2" t="s">
        <v>67</v>
      </c>
      <c r="B289" s="2" t="s">
        <v>168</v>
      </c>
      <c r="C289" s="2" t="s">
        <v>169</v>
      </c>
      <c r="D289" s="2" t="s">
        <v>210</v>
      </c>
      <c r="E289" s="2" t="s">
        <v>205</v>
      </c>
      <c r="F289" s="6">
        <v>1.03</v>
      </c>
      <c r="G289" s="6">
        <v>1440</v>
      </c>
      <c r="H289" s="2" t="s">
        <v>106</v>
      </c>
    </row>
    <row r="290" spans="1:8" ht="25" x14ac:dyDescent="0.35">
      <c r="A290" s="4" t="s">
        <v>67</v>
      </c>
      <c r="B290" s="4" t="s">
        <v>168</v>
      </c>
      <c r="C290" s="4" t="s">
        <v>169</v>
      </c>
      <c r="D290" s="4" t="s">
        <v>210</v>
      </c>
      <c r="E290" s="4" t="s">
        <v>206</v>
      </c>
      <c r="F290" s="5">
        <v>0.97</v>
      </c>
      <c r="G290" s="5">
        <v>1440</v>
      </c>
      <c r="H290" s="4" t="s">
        <v>106</v>
      </c>
    </row>
    <row r="291" spans="1:8" ht="25" x14ac:dyDescent="0.35">
      <c r="A291" s="2" t="s">
        <v>67</v>
      </c>
      <c r="B291" s="2" t="s">
        <v>168</v>
      </c>
      <c r="C291" s="2" t="s">
        <v>169</v>
      </c>
      <c r="D291" s="2" t="s">
        <v>211</v>
      </c>
      <c r="E291" s="2" t="s">
        <v>200</v>
      </c>
      <c r="F291" s="6">
        <v>0.97</v>
      </c>
      <c r="G291" s="6">
        <v>1440</v>
      </c>
      <c r="H291" s="2" t="s">
        <v>106</v>
      </c>
    </row>
    <row r="292" spans="1:8" ht="25" x14ac:dyDescent="0.35">
      <c r="A292" s="4" t="s">
        <v>67</v>
      </c>
      <c r="B292" s="4" t="s">
        <v>168</v>
      </c>
      <c r="C292" s="4" t="s">
        <v>169</v>
      </c>
      <c r="D292" s="4" t="s">
        <v>211</v>
      </c>
      <c r="E292" s="4" t="s">
        <v>201</v>
      </c>
      <c r="F292" s="5">
        <v>1</v>
      </c>
      <c r="G292" s="5">
        <v>1440</v>
      </c>
      <c r="H292" s="4" t="s">
        <v>106</v>
      </c>
    </row>
    <row r="293" spans="1:8" ht="25" x14ac:dyDescent="0.35">
      <c r="A293" s="2" t="s">
        <v>67</v>
      </c>
      <c r="B293" s="2" t="s">
        <v>168</v>
      </c>
      <c r="C293" s="2" t="s">
        <v>169</v>
      </c>
      <c r="D293" s="2" t="s">
        <v>211</v>
      </c>
      <c r="E293" s="2" t="s">
        <v>202</v>
      </c>
      <c r="F293" s="6">
        <v>1.03</v>
      </c>
      <c r="G293" s="6">
        <v>1440</v>
      </c>
      <c r="H293" s="2" t="s">
        <v>106</v>
      </c>
    </row>
    <row r="294" spans="1:8" ht="25" x14ac:dyDescent="0.35">
      <c r="A294" s="4" t="s">
        <v>67</v>
      </c>
      <c r="B294" s="4" t="s">
        <v>168</v>
      </c>
      <c r="C294" s="4" t="s">
        <v>169</v>
      </c>
      <c r="D294" s="4" t="s">
        <v>211</v>
      </c>
      <c r="E294" s="4" t="s">
        <v>203</v>
      </c>
      <c r="F294" s="5">
        <v>0.97</v>
      </c>
      <c r="G294" s="5">
        <v>1440</v>
      </c>
      <c r="H294" s="4" t="s">
        <v>106</v>
      </c>
    </row>
    <row r="295" spans="1:8" ht="25" x14ac:dyDescent="0.35">
      <c r="A295" s="2" t="s">
        <v>67</v>
      </c>
      <c r="B295" s="2" t="s">
        <v>168</v>
      </c>
      <c r="C295" s="2" t="s">
        <v>169</v>
      </c>
      <c r="D295" s="2" t="s">
        <v>211</v>
      </c>
      <c r="E295" s="2" t="s">
        <v>204</v>
      </c>
      <c r="F295" s="6">
        <v>1</v>
      </c>
      <c r="G295" s="6">
        <v>1440</v>
      </c>
      <c r="H295" s="2" t="s">
        <v>106</v>
      </c>
    </row>
    <row r="296" spans="1:8" ht="25" x14ac:dyDescent="0.35">
      <c r="A296" s="4" t="s">
        <v>67</v>
      </c>
      <c r="B296" s="4" t="s">
        <v>168</v>
      </c>
      <c r="C296" s="4" t="s">
        <v>169</v>
      </c>
      <c r="D296" s="4" t="s">
        <v>211</v>
      </c>
      <c r="E296" s="4" t="s">
        <v>205</v>
      </c>
      <c r="F296" s="5">
        <v>1.03</v>
      </c>
      <c r="G296" s="5">
        <v>1440</v>
      </c>
      <c r="H296" s="4" t="s">
        <v>106</v>
      </c>
    </row>
    <row r="297" spans="1:8" ht="25" x14ac:dyDescent="0.35">
      <c r="A297" s="2" t="s">
        <v>67</v>
      </c>
      <c r="B297" s="2" t="s">
        <v>168</v>
      </c>
      <c r="C297" s="2" t="s">
        <v>169</v>
      </c>
      <c r="D297" s="2" t="s">
        <v>211</v>
      </c>
      <c r="E297" s="2" t="s">
        <v>206</v>
      </c>
      <c r="F297" s="6">
        <v>0.97</v>
      </c>
      <c r="G297" s="6">
        <v>1440</v>
      </c>
      <c r="H297" s="2" t="s">
        <v>106</v>
      </c>
    </row>
    <row r="298" spans="1:8" ht="25" x14ac:dyDescent="0.35">
      <c r="A298" s="4" t="s">
        <v>151</v>
      </c>
      <c r="B298" s="4" t="s">
        <v>152</v>
      </c>
      <c r="C298" s="4" t="s">
        <v>153</v>
      </c>
      <c r="D298" s="4" t="s">
        <v>199</v>
      </c>
      <c r="E298" s="4" t="s">
        <v>200</v>
      </c>
      <c r="F298" s="5">
        <v>23.765000000000001</v>
      </c>
      <c r="G298" s="5">
        <v>1440</v>
      </c>
      <c r="H298" s="4" t="s">
        <v>98</v>
      </c>
    </row>
    <row r="299" spans="1:8" ht="25" x14ac:dyDescent="0.35">
      <c r="A299" s="2" t="s">
        <v>151</v>
      </c>
      <c r="B299" s="2" t="s">
        <v>152</v>
      </c>
      <c r="C299" s="2" t="s">
        <v>153</v>
      </c>
      <c r="D299" s="2" t="s">
        <v>199</v>
      </c>
      <c r="E299" s="2" t="s">
        <v>201</v>
      </c>
      <c r="F299" s="6">
        <v>24.5</v>
      </c>
      <c r="G299" s="6">
        <v>1440</v>
      </c>
      <c r="H299" s="2" t="s">
        <v>98</v>
      </c>
    </row>
    <row r="300" spans="1:8" ht="25" x14ac:dyDescent="0.35">
      <c r="A300" s="4" t="s">
        <v>151</v>
      </c>
      <c r="B300" s="4" t="s">
        <v>152</v>
      </c>
      <c r="C300" s="4" t="s">
        <v>153</v>
      </c>
      <c r="D300" s="4" t="s">
        <v>199</v>
      </c>
      <c r="E300" s="4" t="s">
        <v>202</v>
      </c>
      <c r="F300" s="5">
        <v>25.234999999999999</v>
      </c>
      <c r="G300" s="5">
        <v>1440</v>
      </c>
      <c r="H300" s="4" t="s">
        <v>98</v>
      </c>
    </row>
    <row r="301" spans="1:8" ht="25" x14ac:dyDescent="0.35">
      <c r="A301" s="2" t="s">
        <v>151</v>
      </c>
      <c r="B301" s="2" t="s">
        <v>152</v>
      </c>
      <c r="C301" s="2" t="s">
        <v>153</v>
      </c>
      <c r="D301" s="2" t="s">
        <v>199</v>
      </c>
      <c r="E301" s="2" t="s">
        <v>203</v>
      </c>
      <c r="F301" s="6">
        <v>23.765000000000001</v>
      </c>
      <c r="G301" s="6">
        <v>1440</v>
      </c>
      <c r="H301" s="2" t="s">
        <v>98</v>
      </c>
    </row>
    <row r="302" spans="1:8" ht="25" x14ac:dyDescent="0.35">
      <c r="A302" s="4" t="s">
        <v>151</v>
      </c>
      <c r="B302" s="4" t="s">
        <v>152</v>
      </c>
      <c r="C302" s="4" t="s">
        <v>153</v>
      </c>
      <c r="D302" s="4" t="s">
        <v>199</v>
      </c>
      <c r="E302" s="4" t="s">
        <v>204</v>
      </c>
      <c r="F302" s="5">
        <v>24.5</v>
      </c>
      <c r="G302" s="5">
        <v>1440</v>
      </c>
      <c r="H302" s="4" t="s">
        <v>98</v>
      </c>
    </row>
    <row r="303" spans="1:8" ht="25" x14ac:dyDescent="0.35">
      <c r="A303" s="2" t="s">
        <v>151</v>
      </c>
      <c r="B303" s="2" t="s">
        <v>152</v>
      </c>
      <c r="C303" s="2" t="s">
        <v>153</v>
      </c>
      <c r="D303" s="2" t="s">
        <v>199</v>
      </c>
      <c r="E303" s="2" t="s">
        <v>205</v>
      </c>
      <c r="F303" s="6">
        <v>25.234999999999999</v>
      </c>
      <c r="G303" s="6">
        <v>1440</v>
      </c>
      <c r="H303" s="2" t="s">
        <v>98</v>
      </c>
    </row>
    <row r="304" spans="1:8" ht="25" x14ac:dyDescent="0.35">
      <c r="A304" s="4" t="s">
        <v>151</v>
      </c>
      <c r="B304" s="4" t="s">
        <v>152</v>
      </c>
      <c r="C304" s="4" t="s">
        <v>153</v>
      </c>
      <c r="D304" s="4" t="s">
        <v>199</v>
      </c>
      <c r="E304" s="4" t="s">
        <v>206</v>
      </c>
      <c r="F304" s="5">
        <v>23.765000000000001</v>
      </c>
      <c r="G304" s="5">
        <v>1440</v>
      </c>
      <c r="H304" s="4" t="s">
        <v>98</v>
      </c>
    </row>
    <row r="305" spans="1:8" ht="25" x14ac:dyDescent="0.35">
      <c r="A305" s="2" t="s">
        <v>151</v>
      </c>
      <c r="B305" s="2" t="s">
        <v>152</v>
      </c>
      <c r="C305" s="2" t="s">
        <v>153</v>
      </c>
      <c r="D305" s="2" t="s">
        <v>207</v>
      </c>
      <c r="E305" s="2" t="s">
        <v>200</v>
      </c>
      <c r="F305" s="6">
        <v>56.26</v>
      </c>
      <c r="G305" s="6">
        <v>1440</v>
      </c>
      <c r="H305" s="2" t="s">
        <v>98</v>
      </c>
    </row>
    <row r="306" spans="1:8" ht="25" x14ac:dyDescent="0.35">
      <c r="A306" s="4" t="s">
        <v>151</v>
      </c>
      <c r="B306" s="4" t="s">
        <v>152</v>
      </c>
      <c r="C306" s="4" t="s">
        <v>153</v>
      </c>
      <c r="D306" s="4" t="s">
        <v>207</v>
      </c>
      <c r="E306" s="4" t="s">
        <v>201</v>
      </c>
      <c r="F306" s="5">
        <v>58</v>
      </c>
      <c r="G306" s="5">
        <v>1440</v>
      </c>
      <c r="H306" s="4" t="s">
        <v>98</v>
      </c>
    </row>
    <row r="307" spans="1:8" ht="25" x14ac:dyDescent="0.35">
      <c r="A307" s="2" t="s">
        <v>151</v>
      </c>
      <c r="B307" s="2" t="s">
        <v>152</v>
      </c>
      <c r="C307" s="2" t="s">
        <v>153</v>
      </c>
      <c r="D307" s="2" t="s">
        <v>207</v>
      </c>
      <c r="E307" s="2" t="s">
        <v>202</v>
      </c>
      <c r="F307" s="6">
        <v>59.74</v>
      </c>
      <c r="G307" s="6">
        <v>1440</v>
      </c>
      <c r="H307" s="2" t="s">
        <v>98</v>
      </c>
    </row>
    <row r="308" spans="1:8" ht="25" x14ac:dyDescent="0.35">
      <c r="A308" s="4" t="s">
        <v>151</v>
      </c>
      <c r="B308" s="4" t="s">
        <v>152</v>
      </c>
      <c r="C308" s="4" t="s">
        <v>153</v>
      </c>
      <c r="D308" s="4" t="s">
        <v>207</v>
      </c>
      <c r="E308" s="4" t="s">
        <v>203</v>
      </c>
      <c r="F308" s="5">
        <v>56.26</v>
      </c>
      <c r="G308" s="5">
        <v>1440</v>
      </c>
      <c r="H308" s="4" t="s">
        <v>98</v>
      </c>
    </row>
    <row r="309" spans="1:8" ht="25" x14ac:dyDescent="0.35">
      <c r="A309" s="2" t="s">
        <v>151</v>
      </c>
      <c r="B309" s="2" t="s">
        <v>152</v>
      </c>
      <c r="C309" s="2" t="s">
        <v>153</v>
      </c>
      <c r="D309" s="2" t="s">
        <v>207</v>
      </c>
      <c r="E309" s="2" t="s">
        <v>204</v>
      </c>
      <c r="F309" s="6">
        <v>58</v>
      </c>
      <c r="G309" s="6">
        <v>1440</v>
      </c>
      <c r="H309" s="2" t="s">
        <v>98</v>
      </c>
    </row>
    <row r="310" spans="1:8" ht="25" x14ac:dyDescent="0.35">
      <c r="A310" s="4" t="s">
        <v>151</v>
      </c>
      <c r="B310" s="4" t="s">
        <v>152</v>
      </c>
      <c r="C310" s="4" t="s">
        <v>153</v>
      </c>
      <c r="D310" s="4" t="s">
        <v>207</v>
      </c>
      <c r="E310" s="4" t="s">
        <v>205</v>
      </c>
      <c r="F310" s="5">
        <v>59.74</v>
      </c>
      <c r="G310" s="5">
        <v>1440</v>
      </c>
      <c r="H310" s="4" t="s">
        <v>98</v>
      </c>
    </row>
    <row r="311" spans="1:8" ht="25" x14ac:dyDescent="0.35">
      <c r="A311" s="2" t="s">
        <v>151</v>
      </c>
      <c r="B311" s="2" t="s">
        <v>152</v>
      </c>
      <c r="C311" s="2" t="s">
        <v>153</v>
      </c>
      <c r="D311" s="2" t="s">
        <v>207</v>
      </c>
      <c r="E311" s="2" t="s">
        <v>206</v>
      </c>
      <c r="F311" s="6">
        <v>56.26</v>
      </c>
      <c r="G311" s="6">
        <v>1440</v>
      </c>
      <c r="H311" s="2" t="s">
        <v>98</v>
      </c>
    </row>
    <row r="312" spans="1:8" ht="25" x14ac:dyDescent="0.35">
      <c r="A312" s="4" t="s">
        <v>151</v>
      </c>
      <c r="B312" s="4" t="s">
        <v>152</v>
      </c>
      <c r="C312" s="4" t="s">
        <v>153</v>
      </c>
      <c r="D312" s="4" t="s">
        <v>208</v>
      </c>
      <c r="E312" s="4" t="s">
        <v>200</v>
      </c>
      <c r="F312" s="5">
        <v>5.82</v>
      </c>
      <c r="G312" s="5">
        <v>1440</v>
      </c>
      <c r="H312" s="4" t="s">
        <v>98</v>
      </c>
    </row>
    <row r="313" spans="1:8" ht="25" x14ac:dyDescent="0.35">
      <c r="A313" s="2" t="s">
        <v>151</v>
      </c>
      <c r="B313" s="2" t="s">
        <v>152</v>
      </c>
      <c r="C313" s="2" t="s">
        <v>153</v>
      </c>
      <c r="D313" s="2" t="s">
        <v>208</v>
      </c>
      <c r="E313" s="2" t="s">
        <v>201</v>
      </c>
      <c r="F313" s="6">
        <v>6</v>
      </c>
      <c r="G313" s="6">
        <v>1440</v>
      </c>
      <c r="H313" s="2" t="s">
        <v>98</v>
      </c>
    </row>
    <row r="314" spans="1:8" ht="25" x14ac:dyDescent="0.35">
      <c r="A314" s="4" t="s">
        <v>151</v>
      </c>
      <c r="B314" s="4" t="s">
        <v>152</v>
      </c>
      <c r="C314" s="4" t="s">
        <v>153</v>
      </c>
      <c r="D314" s="4" t="s">
        <v>208</v>
      </c>
      <c r="E314" s="4" t="s">
        <v>202</v>
      </c>
      <c r="F314" s="5">
        <v>6.18</v>
      </c>
      <c r="G314" s="5">
        <v>1440</v>
      </c>
      <c r="H314" s="4" t="s">
        <v>98</v>
      </c>
    </row>
    <row r="315" spans="1:8" ht="25" x14ac:dyDescent="0.35">
      <c r="A315" s="2" t="s">
        <v>151</v>
      </c>
      <c r="B315" s="2" t="s">
        <v>152</v>
      </c>
      <c r="C315" s="2" t="s">
        <v>153</v>
      </c>
      <c r="D315" s="2" t="s">
        <v>208</v>
      </c>
      <c r="E315" s="2" t="s">
        <v>203</v>
      </c>
      <c r="F315" s="6">
        <v>5.82</v>
      </c>
      <c r="G315" s="6">
        <v>1440</v>
      </c>
      <c r="H315" s="2" t="s">
        <v>98</v>
      </c>
    </row>
    <row r="316" spans="1:8" ht="25" x14ac:dyDescent="0.35">
      <c r="A316" s="4" t="s">
        <v>151</v>
      </c>
      <c r="B316" s="4" t="s">
        <v>152</v>
      </c>
      <c r="C316" s="4" t="s">
        <v>153</v>
      </c>
      <c r="D316" s="4" t="s">
        <v>208</v>
      </c>
      <c r="E316" s="4" t="s">
        <v>204</v>
      </c>
      <c r="F316" s="5">
        <v>6</v>
      </c>
      <c r="G316" s="5">
        <v>1440</v>
      </c>
      <c r="H316" s="4" t="s">
        <v>98</v>
      </c>
    </row>
    <row r="317" spans="1:8" ht="25" x14ac:dyDescent="0.35">
      <c r="A317" s="2" t="s">
        <v>151</v>
      </c>
      <c r="B317" s="2" t="s">
        <v>152</v>
      </c>
      <c r="C317" s="2" t="s">
        <v>153</v>
      </c>
      <c r="D317" s="2" t="s">
        <v>208</v>
      </c>
      <c r="E317" s="2" t="s">
        <v>205</v>
      </c>
      <c r="F317" s="6">
        <v>6.18</v>
      </c>
      <c r="G317" s="6">
        <v>1440</v>
      </c>
      <c r="H317" s="2" t="s">
        <v>98</v>
      </c>
    </row>
    <row r="318" spans="1:8" ht="25" x14ac:dyDescent="0.35">
      <c r="A318" s="4" t="s">
        <v>151</v>
      </c>
      <c r="B318" s="4" t="s">
        <v>152</v>
      </c>
      <c r="C318" s="4" t="s">
        <v>153</v>
      </c>
      <c r="D318" s="4" t="s">
        <v>208</v>
      </c>
      <c r="E318" s="4" t="s">
        <v>206</v>
      </c>
      <c r="F318" s="5">
        <v>5.82</v>
      </c>
      <c r="G318" s="5">
        <v>1440</v>
      </c>
      <c r="H318" s="4" t="s">
        <v>98</v>
      </c>
    </row>
    <row r="319" spans="1:8" ht="25" x14ac:dyDescent="0.35">
      <c r="A319" s="2" t="s">
        <v>151</v>
      </c>
      <c r="B319" s="2" t="s">
        <v>152</v>
      </c>
      <c r="C319" s="2" t="s">
        <v>153</v>
      </c>
      <c r="D319" s="2" t="s">
        <v>209</v>
      </c>
      <c r="E319" s="2" t="s">
        <v>200</v>
      </c>
      <c r="F319" s="6">
        <v>7.76</v>
      </c>
      <c r="G319" s="6">
        <v>1440</v>
      </c>
      <c r="H319" s="2" t="s">
        <v>98</v>
      </c>
    </row>
    <row r="320" spans="1:8" ht="25" x14ac:dyDescent="0.35">
      <c r="A320" s="4" t="s">
        <v>151</v>
      </c>
      <c r="B320" s="4" t="s">
        <v>152</v>
      </c>
      <c r="C320" s="4" t="s">
        <v>153</v>
      </c>
      <c r="D320" s="4" t="s">
        <v>209</v>
      </c>
      <c r="E320" s="4" t="s">
        <v>201</v>
      </c>
      <c r="F320" s="5">
        <v>8</v>
      </c>
      <c r="G320" s="5">
        <v>1440</v>
      </c>
      <c r="H320" s="4" t="s">
        <v>98</v>
      </c>
    </row>
    <row r="321" spans="1:8" ht="25" x14ac:dyDescent="0.35">
      <c r="A321" s="2" t="s">
        <v>151</v>
      </c>
      <c r="B321" s="2" t="s">
        <v>152</v>
      </c>
      <c r="C321" s="2" t="s">
        <v>153</v>
      </c>
      <c r="D321" s="2" t="s">
        <v>209</v>
      </c>
      <c r="E321" s="2" t="s">
        <v>202</v>
      </c>
      <c r="F321" s="6">
        <v>8.24</v>
      </c>
      <c r="G321" s="6">
        <v>1440</v>
      </c>
      <c r="H321" s="2" t="s">
        <v>98</v>
      </c>
    </row>
    <row r="322" spans="1:8" ht="25" x14ac:dyDescent="0.35">
      <c r="A322" s="4" t="s">
        <v>151</v>
      </c>
      <c r="B322" s="4" t="s">
        <v>152</v>
      </c>
      <c r="C322" s="4" t="s">
        <v>153</v>
      </c>
      <c r="D322" s="4" t="s">
        <v>209</v>
      </c>
      <c r="E322" s="4" t="s">
        <v>203</v>
      </c>
      <c r="F322" s="5">
        <v>7.76</v>
      </c>
      <c r="G322" s="5">
        <v>1440</v>
      </c>
      <c r="H322" s="4" t="s">
        <v>98</v>
      </c>
    </row>
    <row r="323" spans="1:8" ht="25" x14ac:dyDescent="0.35">
      <c r="A323" s="2" t="s">
        <v>151</v>
      </c>
      <c r="B323" s="2" t="s">
        <v>152</v>
      </c>
      <c r="C323" s="2" t="s">
        <v>153</v>
      </c>
      <c r="D323" s="2" t="s">
        <v>209</v>
      </c>
      <c r="E323" s="2" t="s">
        <v>204</v>
      </c>
      <c r="F323" s="6">
        <v>8</v>
      </c>
      <c r="G323" s="6">
        <v>1440</v>
      </c>
      <c r="H323" s="2" t="s">
        <v>98</v>
      </c>
    </row>
    <row r="324" spans="1:8" ht="25" x14ac:dyDescent="0.35">
      <c r="A324" s="4" t="s">
        <v>151</v>
      </c>
      <c r="B324" s="4" t="s">
        <v>152</v>
      </c>
      <c r="C324" s="4" t="s">
        <v>153</v>
      </c>
      <c r="D324" s="4" t="s">
        <v>209</v>
      </c>
      <c r="E324" s="4" t="s">
        <v>205</v>
      </c>
      <c r="F324" s="5">
        <v>8.24</v>
      </c>
      <c r="G324" s="5">
        <v>1440</v>
      </c>
      <c r="H324" s="4" t="s">
        <v>98</v>
      </c>
    </row>
    <row r="325" spans="1:8" ht="25" x14ac:dyDescent="0.35">
      <c r="A325" s="2" t="s">
        <v>151</v>
      </c>
      <c r="B325" s="2" t="s">
        <v>152</v>
      </c>
      <c r="C325" s="2" t="s">
        <v>153</v>
      </c>
      <c r="D325" s="2" t="s">
        <v>209</v>
      </c>
      <c r="E325" s="2" t="s">
        <v>206</v>
      </c>
      <c r="F325" s="6">
        <v>7.76</v>
      </c>
      <c r="G325" s="6">
        <v>1440</v>
      </c>
      <c r="H325" s="2" t="s">
        <v>98</v>
      </c>
    </row>
    <row r="326" spans="1:8" ht="25" x14ac:dyDescent="0.35">
      <c r="A326" s="4" t="s">
        <v>151</v>
      </c>
      <c r="B326" s="4" t="s">
        <v>152</v>
      </c>
      <c r="C326" s="4" t="s">
        <v>153</v>
      </c>
      <c r="D326" s="4" t="s">
        <v>210</v>
      </c>
      <c r="E326" s="4" t="s">
        <v>200</v>
      </c>
      <c r="F326" s="5">
        <v>3.88</v>
      </c>
      <c r="G326" s="5">
        <v>1440</v>
      </c>
      <c r="H326" s="4" t="s">
        <v>98</v>
      </c>
    </row>
    <row r="327" spans="1:8" ht="25" x14ac:dyDescent="0.35">
      <c r="A327" s="2" t="s">
        <v>151</v>
      </c>
      <c r="B327" s="2" t="s">
        <v>152</v>
      </c>
      <c r="C327" s="2" t="s">
        <v>153</v>
      </c>
      <c r="D327" s="2" t="s">
        <v>210</v>
      </c>
      <c r="E327" s="2" t="s">
        <v>201</v>
      </c>
      <c r="F327" s="6">
        <v>4</v>
      </c>
      <c r="G327" s="6">
        <v>1440</v>
      </c>
      <c r="H327" s="2" t="s">
        <v>98</v>
      </c>
    </row>
    <row r="328" spans="1:8" ht="25" x14ac:dyDescent="0.35">
      <c r="A328" s="4" t="s">
        <v>151</v>
      </c>
      <c r="B328" s="4" t="s">
        <v>152</v>
      </c>
      <c r="C328" s="4" t="s">
        <v>153</v>
      </c>
      <c r="D328" s="4" t="s">
        <v>210</v>
      </c>
      <c r="E328" s="4" t="s">
        <v>202</v>
      </c>
      <c r="F328" s="5">
        <v>4.12</v>
      </c>
      <c r="G328" s="5">
        <v>1440</v>
      </c>
      <c r="H328" s="4" t="s">
        <v>98</v>
      </c>
    </row>
    <row r="329" spans="1:8" ht="25" x14ac:dyDescent="0.35">
      <c r="A329" s="2" t="s">
        <v>151</v>
      </c>
      <c r="B329" s="2" t="s">
        <v>152</v>
      </c>
      <c r="C329" s="2" t="s">
        <v>153</v>
      </c>
      <c r="D329" s="2" t="s">
        <v>210</v>
      </c>
      <c r="E329" s="2" t="s">
        <v>203</v>
      </c>
      <c r="F329" s="6">
        <v>3.88</v>
      </c>
      <c r="G329" s="6">
        <v>1440</v>
      </c>
      <c r="H329" s="2" t="s">
        <v>98</v>
      </c>
    </row>
    <row r="330" spans="1:8" ht="25" x14ac:dyDescent="0.35">
      <c r="A330" s="4" t="s">
        <v>151</v>
      </c>
      <c r="B330" s="4" t="s">
        <v>152</v>
      </c>
      <c r="C330" s="4" t="s">
        <v>153</v>
      </c>
      <c r="D330" s="4" t="s">
        <v>210</v>
      </c>
      <c r="E330" s="4" t="s">
        <v>204</v>
      </c>
      <c r="F330" s="5">
        <v>4</v>
      </c>
      <c r="G330" s="5">
        <v>1440</v>
      </c>
      <c r="H330" s="4" t="s">
        <v>98</v>
      </c>
    </row>
    <row r="331" spans="1:8" ht="25" x14ac:dyDescent="0.35">
      <c r="A331" s="2" t="s">
        <v>151</v>
      </c>
      <c r="B331" s="2" t="s">
        <v>152</v>
      </c>
      <c r="C331" s="2" t="s">
        <v>153</v>
      </c>
      <c r="D331" s="2" t="s">
        <v>210</v>
      </c>
      <c r="E331" s="2" t="s">
        <v>205</v>
      </c>
      <c r="F331" s="6">
        <v>4.12</v>
      </c>
      <c r="G331" s="6">
        <v>1440</v>
      </c>
      <c r="H331" s="2" t="s">
        <v>98</v>
      </c>
    </row>
    <row r="332" spans="1:8" ht="25" x14ac:dyDescent="0.35">
      <c r="A332" s="4" t="s">
        <v>151</v>
      </c>
      <c r="B332" s="4" t="s">
        <v>152</v>
      </c>
      <c r="C332" s="4" t="s">
        <v>153</v>
      </c>
      <c r="D332" s="4" t="s">
        <v>210</v>
      </c>
      <c r="E332" s="4" t="s">
        <v>206</v>
      </c>
      <c r="F332" s="5">
        <v>3.88</v>
      </c>
      <c r="G332" s="5">
        <v>1440</v>
      </c>
      <c r="H332" s="4" t="s">
        <v>98</v>
      </c>
    </row>
    <row r="333" spans="1:8" ht="25" x14ac:dyDescent="0.35">
      <c r="A333" s="2" t="s">
        <v>151</v>
      </c>
      <c r="B333" s="2" t="s">
        <v>152</v>
      </c>
      <c r="C333" s="2" t="s">
        <v>153</v>
      </c>
      <c r="D333" s="2" t="s">
        <v>211</v>
      </c>
      <c r="E333" s="2" t="s">
        <v>200</v>
      </c>
      <c r="F333" s="6">
        <v>2.91</v>
      </c>
      <c r="G333" s="6">
        <v>1440</v>
      </c>
      <c r="H333" s="2" t="s">
        <v>98</v>
      </c>
    </row>
    <row r="334" spans="1:8" ht="25" x14ac:dyDescent="0.35">
      <c r="A334" s="4" t="s">
        <v>151</v>
      </c>
      <c r="B334" s="4" t="s">
        <v>152</v>
      </c>
      <c r="C334" s="4" t="s">
        <v>153</v>
      </c>
      <c r="D334" s="4" t="s">
        <v>211</v>
      </c>
      <c r="E334" s="4" t="s">
        <v>201</v>
      </c>
      <c r="F334" s="5">
        <v>3</v>
      </c>
      <c r="G334" s="5">
        <v>1440</v>
      </c>
      <c r="H334" s="4" t="s">
        <v>98</v>
      </c>
    </row>
    <row r="335" spans="1:8" ht="25" x14ac:dyDescent="0.35">
      <c r="A335" s="2" t="s">
        <v>151</v>
      </c>
      <c r="B335" s="2" t="s">
        <v>152</v>
      </c>
      <c r="C335" s="2" t="s">
        <v>153</v>
      </c>
      <c r="D335" s="2" t="s">
        <v>211</v>
      </c>
      <c r="E335" s="2" t="s">
        <v>202</v>
      </c>
      <c r="F335" s="6">
        <v>3.09</v>
      </c>
      <c r="G335" s="6">
        <v>1440</v>
      </c>
      <c r="H335" s="2" t="s">
        <v>98</v>
      </c>
    </row>
    <row r="336" spans="1:8" ht="25" x14ac:dyDescent="0.35">
      <c r="A336" s="4" t="s">
        <v>151</v>
      </c>
      <c r="B336" s="4" t="s">
        <v>152</v>
      </c>
      <c r="C336" s="4" t="s">
        <v>153</v>
      </c>
      <c r="D336" s="4" t="s">
        <v>211</v>
      </c>
      <c r="E336" s="4" t="s">
        <v>203</v>
      </c>
      <c r="F336" s="5">
        <v>2.91</v>
      </c>
      <c r="G336" s="5">
        <v>1440</v>
      </c>
      <c r="H336" s="4" t="s">
        <v>98</v>
      </c>
    </row>
    <row r="337" spans="1:8" ht="25" x14ac:dyDescent="0.35">
      <c r="A337" s="2" t="s">
        <v>151</v>
      </c>
      <c r="B337" s="2" t="s">
        <v>152</v>
      </c>
      <c r="C337" s="2" t="s">
        <v>153</v>
      </c>
      <c r="D337" s="2" t="s">
        <v>211</v>
      </c>
      <c r="E337" s="2" t="s">
        <v>204</v>
      </c>
      <c r="F337" s="6">
        <v>3</v>
      </c>
      <c r="G337" s="6">
        <v>1440</v>
      </c>
      <c r="H337" s="2" t="s">
        <v>98</v>
      </c>
    </row>
    <row r="338" spans="1:8" ht="25" x14ac:dyDescent="0.35">
      <c r="A338" s="4" t="s">
        <v>151</v>
      </c>
      <c r="B338" s="4" t="s">
        <v>152</v>
      </c>
      <c r="C338" s="4" t="s">
        <v>153</v>
      </c>
      <c r="D338" s="4" t="s">
        <v>211</v>
      </c>
      <c r="E338" s="4" t="s">
        <v>205</v>
      </c>
      <c r="F338" s="5">
        <v>3.09</v>
      </c>
      <c r="G338" s="5">
        <v>1440</v>
      </c>
      <c r="H338" s="4" t="s">
        <v>98</v>
      </c>
    </row>
    <row r="339" spans="1:8" ht="25" x14ac:dyDescent="0.35">
      <c r="A339" s="2" t="s">
        <v>151</v>
      </c>
      <c r="B339" s="2" t="s">
        <v>152</v>
      </c>
      <c r="C339" s="2" t="s">
        <v>153</v>
      </c>
      <c r="D339" s="2" t="s">
        <v>211</v>
      </c>
      <c r="E339" s="2" t="s">
        <v>206</v>
      </c>
      <c r="F339" s="6">
        <v>2.91</v>
      </c>
      <c r="G339" s="6">
        <v>1440</v>
      </c>
      <c r="H339" s="2" t="s">
        <v>98</v>
      </c>
    </row>
    <row r="340" spans="1:8" ht="25" x14ac:dyDescent="0.35">
      <c r="A340" s="4" t="s">
        <v>151</v>
      </c>
      <c r="B340" s="4" t="s">
        <v>152</v>
      </c>
      <c r="C340" s="4" t="s">
        <v>156</v>
      </c>
      <c r="D340" s="4" t="s">
        <v>199</v>
      </c>
      <c r="E340" s="4" t="s">
        <v>200</v>
      </c>
      <c r="F340" s="5">
        <v>23.085999999999999</v>
      </c>
      <c r="G340" s="5">
        <v>1440</v>
      </c>
      <c r="H340" s="4" t="s">
        <v>99</v>
      </c>
    </row>
    <row r="341" spans="1:8" ht="25" x14ac:dyDescent="0.35">
      <c r="A341" s="2" t="s">
        <v>151</v>
      </c>
      <c r="B341" s="2" t="s">
        <v>152</v>
      </c>
      <c r="C341" s="2" t="s">
        <v>156</v>
      </c>
      <c r="D341" s="2" t="s">
        <v>199</v>
      </c>
      <c r="E341" s="2" t="s">
        <v>201</v>
      </c>
      <c r="F341" s="6">
        <v>23.8</v>
      </c>
      <c r="G341" s="6">
        <v>1440</v>
      </c>
      <c r="H341" s="2" t="s">
        <v>99</v>
      </c>
    </row>
    <row r="342" spans="1:8" ht="25" x14ac:dyDescent="0.35">
      <c r="A342" s="4" t="s">
        <v>151</v>
      </c>
      <c r="B342" s="4" t="s">
        <v>152</v>
      </c>
      <c r="C342" s="4" t="s">
        <v>156</v>
      </c>
      <c r="D342" s="4" t="s">
        <v>199</v>
      </c>
      <c r="E342" s="4" t="s">
        <v>202</v>
      </c>
      <c r="F342" s="5">
        <v>24.513999999999999</v>
      </c>
      <c r="G342" s="5">
        <v>1440</v>
      </c>
      <c r="H342" s="4" t="s">
        <v>99</v>
      </c>
    </row>
    <row r="343" spans="1:8" ht="25" x14ac:dyDescent="0.35">
      <c r="A343" s="2" t="s">
        <v>151</v>
      </c>
      <c r="B343" s="2" t="s">
        <v>152</v>
      </c>
      <c r="C343" s="2" t="s">
        <v>156</v>
      </c>
      <c r="D343" s="2" t="s">
        <v>199</v>
      </c>
      <c r="E343" s="2" t="s">
        <v>203</v>
      </c>
      <c r="F343" s="6">
        <v>23.085999999999999</v>
      </c>
      <c r="G343" s="6">
        <v>1440</v>
      </c>
      <c r="H343" s="2" t="s">
        <v>99</v>
      </c>
    </row>
    <row r="344" spans="1:8" ht="25" x14ac:dyDescent="0.35">
      <c r="A344" s="4" t="s">
        <v>151</v>
      </c>
      <c r="B344" s="4" t="s">
        <v>152</v>
      </c>
      <c r="C344" s="4" t="s">
        <v>156</v>
      </c>
      <c r="D344" s="4" t="s">
        <v>199</v>
      </c>
      <c r="E344" s="4" t="s">
        <v>204</v>
      </c>
      <c r="F344" s="5">
        <v>23.8</v>
      </c>
      <c r="G344" s="5">
        <v>1440</v>
      </c>
      <c r="H344" s="4" t="s">
        <v>99</v>
      </c>
    </row>
    <row r="345" spans="1:8" ht="25" x14ac:dyDescent="0.35">
      <c r="A345" s="2" t="s">
        <v>151</v>
      </c>
      <c r="B345" s="2" t="s">
        <v>152</v>
      </c>
      <c r="C345" s="2" t="s">
        <v>156</v>
      </c>
      <c r="D345" s="2" t="s">
        <v>199</v>
      </c>
      <c r="E345" s="2" t="s">
        <v>205</v>
      </c>
      <c r="F345" s="6">
        <v>24.513999999999999</v>
      </c>
      <c r="G345" s="6">
        <v>1440</v>
      </c>
      <c r="H345" s="2" t="s">
        <v>99</v>
      </c>
    </row>
    <row r="346" spans="1:8" ht="25" x14ac:dyDescent="0.35">
      <c r="A346" s="4" t="s">
        <v>151</v>
      </c>
      <c r="B346" s="4" t="s">
        <v>152</v>
      </c>
      <c r="C346" s="4" t="s">
        <v>156</v>
      </c>
      <c r="D346" s="4" t="s">
        <v>199</v>
      </c>
      <c r="E346" s="4" t="s">
        <v>206</v>
      </c>
      <c r="F346" s="5">
        <v>23.085999999999999</v>
      </c>
      <c r="G346" s="5">
        <v>1440</v>
      </c>
      <c r="H346" s="4" t="s">
        <v>99</v>
      </c>
    </row>
    <row r="347" spans="1:8" ht="25" x14ac:dyDescent="0.35">
      <c r="A347" s="2" t="s">
        <v>151</v>
      </c>
      <c r="B347" s="2" t="s">
        <v>152</v>
      </c>
      <c r="C347" s="2" t="s">
        <v>156</v>
      </c>
      <c r="D347" s="2" t="s">
        <v>207</v>
      </c>
      <c r="E347" s="2" t="s">
        <v>200</v>
      </c>
      <c r="F347" s="6">
        <v>55.29</v>
      </c>
      <c r="G347" s="6">
        <v>1440</v>
      </c>
      <c r="H347" s="2" t="s">
        <v>99</v>
      </c>
    </row>
    <row r="348" spans="1:8" ht="25" x14ac:dyDescent="0.35">
      <c r="A348" s="4" t="s">
        <v>151</v>
      </c>
      <c r="B348" s="4" t="s">
        <v>152</v>
      </c>
      <c r="C348" s="4" t="s">
        <v>156</v>
      </c>
      <c r="D348" s="4" t="s">
        <v>207</v>
      </c>
      <c r="E348" s="4" t="s">
        <v>201</v>
      </c>
      <c r="F348" s="5">
        <v>57</v>
      </c>
      <c r="G348" s="5">
        <v>1440</v>
      </c>
      <c r="H348" s="4" t="s">
        <v>99</v>
      </c>
    </row>
    <row r="349" spans="1:8" ht="25" x14ac:dyDescent="0.35">
      <c r="A349" s="2" t="s">
        <v>151</v>
      </c>
      <c r="B349" s="2" t="s">
        <v>152</v>
      </c>
      <c r="C349" s="2" t="s">
        <v>156</v>
      </c>
      <c r="D349" s="2" t="s">
        <v>207</v>
      </c>
      <c r="E349" s="2" t="s">
        <v>202</v>
      </c>
      <c r="F349" s="6">
        <v>58.71</v>
      </c>
      <c r="G349" s="6">
        <v>1440</v>
      </c>
      <c r="H349" s="2" t="s">
        <v>99</v>
      </c>
    </row>
    <row r="350" spans="1:8" ht="25" x14ac:dyDescent="0.35">
      <c r="A350" s="4" t="s">
        <v>151</v>
      </c>
      <c r="B350" s="4" t="s">
        <v>152</v>
      </c>
      <c r="C350" s="4" t="s">
        <v>156</v>
      </c>
      <c r="D350" s="4" t="s">
        <v>207</v>
      </c>
      <c r="E350" s="4" t="s">
        <v>203</v>
      </c>
      <c r="F350" s="5">
        <v>55.29</v>
      </c>
      <c r="G350" s="5">
        <v>1440</v>
      </c>
      <c r="H350" s="4" t="s">
        <v>99</v>
      </c>
    </row>
    <row r="351" spans="1:8" ht="25" x14ac:dyDescent="0.35">
      <c r="A351" s="2" t="s">
        <v>151</v>
      </c>
      <c r="B351" s="2" t="s">
        <v>152</v>
      </c>
      <c r="C351" s="2" t="s">
        <v>156</v>
      </c>
      <c r="D351" s="2" t="s">
        <v>207</v>
      </c>
      <c r="E351" s="2" t="s">
        <v>204</v>
      </c>
      <c r="F351" s="6">
        <v>57</v>
      </c>
      <c r="G351" s="6">
        <v>1440</v>
      </c>
      <c r="H351" s="2" t="s">
        <v>99</v>
      </c>
    </row>
    <row r="352" spans="1:8" ht="25" x14ac:dyDescent="0.35">
      <c r="A352" s="4" t="s">
        <v>151</v>
      </c>
      <c r="B352" s="4" t="s">
        <v>152</v>
      </c>
      <c r="C352" s="4" t="s">
        <v>156</v>
      </c>
      <c r="D352" s="4" t="s">
        <v>207</v>
      </c>
      <c r="E352" s="4" t="s">
        <v>205</v>
      </c>
      <c r="F352" s="5">
        <v>58.71</v>
      </c>
      <c r="G352" s="5">
        <v>1440</v>
      </c>
      <c r="H352" s="4" t="s">
        <v>99</v>
      </c>
    </row>
    <row r="353" spans="1:8" ht="25" x14ac:dyDescent="0.35">
      <c r="A353" s="2" t="s">
        <v>151</v>
      </c>
      <c r="B353" s="2" t="s">
        <v>152</v>
      </c>
      <c r="C353" s="2" t="s">
        <v>156</v>
      </c>
      <c r="D353" s="2" t="s">
        <v>207</v>
      </c>
      <c r="E353" s="2" t="s">
        <v>206</v>
      </c>
      <c r="F353" s="6">
        <v>55.29</v>
      </c>
      <c r="G353" s="6">
        <v>1440</v>
      </c>
      <c r="H353" s="2" t="s">
        <v>99</v>
      </c>
    </row>
    <row r="354" spans="1:8" ht="25" x14ac:dyDescent="0.35">
      <c r="A354" s="4" t="s">
        <v>151</v>
      </c>
      <c r="B354" s="4" t="s">
        <v>152</v>
      </c>
      <c r="C354" s="4" t="s">
        <v>156</v>
      </c>
      <c r="D354" s="4" t="s">
        <v>208</v>
      </c>
      <c r="E354" s="4" t="s">
        <v>200</v>
      </c>
      <c r="F354" s="5">
        <v>5.82</v>
      </c>
      <c r="G354" s="5">
        <v>1440</v>
      </c>
      <c r="H354" s="4" t="s">
        <v>99</v>
      </c>
    </row>
    <row r="355" spans="1:8" ht="25" x14ac:dyDescent="0.35">
      <c r="A355" s="2" t="s">
        <v>151</v>
      </c>
      <c r="B355" s="2" t="s">
        <v>152</v>
      </c>
      <c r="C355" s="2" t="s">
        <v>156</v>
      </c>
      <c r="D355" s="2" t="s">
        <v>208</v>
      </c>
      <c r="E355" s="2" t="s">
        <v>201</v>
      </c>
      <c r="F355" s="6">
        <v>6</v>
      </c>
      <c r="G355" s="6">
        <v>1440</v>
      </c>
      <c r="H355" s="2" t="s">
        <v>99</v>
      </c>
    </row>
    <row r="356" spans="1:8" ht="25" x14ac:dyDescent="0.35">
      <c r="A356" s="4" t="s">
        <v>151</v>
      </c>
      <c r="B356" s="4" t="s">
        <v>152</v>
      </c>
      <c r="C356" s="4" t="s">
        <v>156</v>
      </c>
      <c r="D356" s="4" t="s">
        <v>208</v>
      </c>
      <c r="E356" s="4" t="s">
        <v>202</v>
      </c>
      <c r="F356" s="5">
        <v>6.18</v>
      </c>
      <c r="G356" s="5">
        <v>1440</v>
      </c>
      <c r="H356" s="4" t="s">
        <v>99</v>
      </c>
    </row>
    <row r="357" spans="1:8" ht="25" x14ac:dyDescent="0.35">
      <c r="A357" s="2" t="s">
        <v>151</v>
      </c>
      <c r="B357" s="2" t="s">
        <v>152</v>
      </c>
      <c r="C357" s="2" t="s">
        <v>156</v>
      </c>
      <c r="D357" s="2" t="s">
        <v>208</v>
      </c>
      <c r="E357" s="2" t="s">
        <v>203</v>
      </c>
      <c r="F357" s="6">
        <v>5.82</v>
      </c>
      <c r="G357" s="6">
        <v>1440</v>
      </c>
      <c r="H357" s="2" t="s">
        <v>99</v>
      </c>
    </row>
    <row r="358" spans="1:8" ht="25" x14ac:dyDescent="0.35">
      <c r="A358" s="4" t="s">
        <v>151</v>
      </c>
      <c r="B358" s="4" t="s">
        <v>152</v>
      </c>
      <c r="C358" s="4" t="s">
        <v>156</v>
      </c>
      <c r="D358" s="4" t="s">
        <v>208</v>
      </c>
      <c r="E358" s="4" t="s">
        <v>204</v>
      </c>
      <c r="F358" s="5">
        <v>6</v>
      </c>
      <c r="G358" s="5">
        <v>1440</v>
      </c>
      <c r="H358" s="4" t="s">
        <v>99</v>
      </c>
    </row>
    <row r="359" spans="1:8" ht="25" x14ac:dyDescent="0.35">
      <c r="A359" s="2" t="s">
        <v>151</v>
      </c>
      <c r="B359" s="2" t="s">
        <v>152</v>
      </c>
      <c r="C359" s="2" t="s">
        <v>156</v>
      </c>
      <c r="D359" s="2" t="s">
        <v>208</v>
      </c>
      <c r="E359" s="2" t="s">
        <v>205</v>
      </c>
      <c r="F359" s="6">
        <v>6.18</v>
      </c>
      <c r="G359" s="6">
        <v>1440</v>
      </c>
      <c r="H359" s="2" t="s">
        <v>99</v>
      </c>
    </row>
    <row r="360" spans="1:8" ht="25" x14ac:dyDescent="0.35">
      <c r="A360" s="4" t="s">
        <v>151</v>
      </c>
      <c r="B360" s="4" t="s">
        <v>152</v>
      </c>
      <c r="C360" s="4" t="s">
        <v>156</v>
      </c>
      <c r="D360" s="4" t="s">
        <v>208</v>
      </c>
      <c r="E360" s="4" t="s">
        <v>206</v>
      </c>
      <c r="F360" s="5">
        <v>5.82</v>
      </c>
      <c r="G360" s="5">
        <v>1440</v>
      </c>
      <c r="H360" s="4" t="s">
        <v>99</v>
      </c>
    </row>
    <row r="361" spans="1:8" ht="25" x14ac:dyDescent="0.35">
      <c r="A361" s="2" t="s">
        <v>151</v>
      </c>
      <c r="B361" s="2" t="s">
        <v>152</v>
      </c>
      <c r="C361" s="2" t="s">
        <v>156</v>
      </c>
      <c r="D361" s="2" t="s">
        <v>209</v>
      </c>
      <c r="E361" s="2" t="s">
        <v>200</v>
      </c>
      <c r="F361" s="6">
        <v>7.76</v>
      </c>
      <c r="G361" s="6">
        <v>1440</v>
      </c>
      <c r="H361" s="2" t="s">
        <v>99</v>
      </c>
    </row>
    <row r="362" spans="1:8" ht="25" x14ac:dyDescent="0.35">
      <c r="A362" s="4" t="s">
        <v>151</v>
      </c>
      <c r="B362" s="4" t="s">
        <v>152</v>
      </c>
      <c r="C362" s="4" t="s">
        <v>156</v>
      </c>
      <c r="D362" s="4" t="s">
        <v>209</v>
      </c>
      <c r="E362" s="4" t="s">
        <v>201</v>
      </c>
      <c r="F362" s="5">
        <v>8</v>
      </c>
      <c r="G362" s="5">
        <v>1440</v>
      </c>
      <c r="H362" s="4" t="s">
        <v>99</v>
      </c>
    </row>
    <row r="363" spans="1:8" ht="25" x14ac:dyDescent="0.35">
      <c r="A363" s="2" t="s">
        <v>151</v>
      </c>
      <c r="B363" s="2" t="s">
        <v>152</v>
      </c>
      <c r="C363" s="2" t="s">
        <v>156</v>
      </c>
      <c r="D363" s="2" t="s">
        <v>209</v>
      </c>
      <c r="E363" s="2" t="s">
        <v>202</v>
      </c>
      <c r="F363" s="6">
        <v>8.24</v>
      </c>
      <c r="G363" s="6">
        <v>1440</v>
      </c>
      <c r="H363" s="2" t="s">
        <v>99</v>
      </c>
    </row>
    <row r="364" spans="1:8" ht="25" x14ac:dyDescent="0.35">
      <c r="A364" s="4" t="s">
        <v>151</v>
      </c>
      <c r="B364" s="4" t="s">
        <v>152</v>
      </c>
      <c r="C364" s="4" t="s">
        <v>156</v>
      </c>
      <c r="D364" s="4" t="s">
        <v>209</v>
      </c>
      <c r="E364" s="4" t="s">
        <v>203</v>
      </c>
      <c r="F364" s="5">
        <v>7.76</v>
      </c>
      <c r="G364" s="5">
        <v>1440</v>
      </c>
      <c r="H364" s="4" t="s">
        <v>99</v>
      </c>
    </row>
    <row r="365" spans="1:8" ht="25" x14ac:dyDescent="0.35">
      <c r="A365" s="2" t="s">
        <v>151</v>
      </c>
      <c r="B365" s="2" t="s">
        <v>152</v>
      </c>
      <c r="C365" s="2" t="s">
        <v>156</v>
      </c>
      <c r="D365" s="2" t="s">
        <v>209</v>
      </c>
      <c r="E365" s="2" t="s">
        <v>204</v>
      </c>
      <c r="F365" s="6">
        <v>8</v>
      </c>
      <c r="G365" s="6">
        <v>1440</v>
      </c>
      <c r="H365" s="2" t="s">
        <v>99</v>
      </c>
    </row>
    <row r="366" spans="1:8" ht="25" x14ac:dyDescent="0.35">
      <c r="A366" s="4" t="s">
        <v>151</v>
      </c>
      <c r="B366" s="4" t="s">
        <v>152</v>
      </c>
      <c r="C366" s="4" t="s">
        <v>156</v>
      </c>
      <c r="D366" s="4" t="s">
        <v>209</v>
      </c>
      <c r="E366" s="4" t="s">
        <v>205</v>
      </c>
      <c r="F366" s="5">
        <v>8.24</v>
      </c>
      <c r="G366" s="5">
        <v>1440</v>
      </c>
      <c r="H366" s="4" t="s">
        <v>99</v>
      </c>
    </row>
    <row r="367" spans="1:8" ht="25" x14ac:dyDescent="0.35">
      <c r="A367" s="2" t="s">
        <v>151</v>
      </c>
      <c r="B367" s="2" t="s">
        <v>152</v>
      </c>
      <c r="C367" s="2" t="s">
        <v>156</v>
      </c>
      <c r="D367" s="2" t="s">
        <v>209</v>
      </c>
      <c r="E367" s="2" t="s">
        <v>206</v>
      </c>
      <c r="F367" s="6">
        <v>7.76</v>
      </c>
      <c r="G367" s="6">
        <v>1440</v>
      </c>
      <c r="H367" s="2" t="s">
        <v>99</v>
      </c>
    </row>
    <row r="368" spans="1:8" ht="25" x14ac:dyDescent="0.35">
      <c r="A368" s="4" t="s">
        <v>151</v>
      </c>
      <c r="B368" s="4" t="s">
        <v>152</v>
      </c>
      <c r="C368" s="4" t="s">
        <v>156</v>
      </c>
      <c r="D368" s="4" t="s">
        <v>210</v>
      </c>
      <c r="E368" s="4" t="s">
        <v>200</v>
      </c>
      <c r="F368" s="5">
        <v>3.88</v>
      </c>
      <c r="G368" s="5">
        <v>1440</v>
      </c>
      <c r="H368" s="4" t="s">
        <v>99</v>
      </c>
    </row>
    <row r="369" spans="1:8" ht="25" x14ac:dyDescent="0.35">
      <c r="A369" s="2" t="s">
        <v>151</v>
      </c>
      <c r="B369" s="2" t="s">
        <v>152</v>
      </c>
      <c r="C369" s="2" t="s">
        <v>156</v>
      </c>
      <c r="D369" s="2" t="s">
        <v>210</v>
      </c>
      <c r="E369" s="2" t="s">
        <v>201</v>
      </c>
      <c r="F369" s="6">
        <v>4</v>
      </c>
      <c r="G369" s="6">
        <v>1440</v>
      </c>
      <c r="H369" s="2" t="s">
        <v>99</v>
      </c>
    </row>
    <row r="370" spans="1:8" ht="25" x14ac:dyDescent="0.35">
      <c r="A370" s="4" t="s">
        <v>151</v>
      </c>
      <c r="B370" s="4" t="s">
        <v>152</v>
      </c>
      <c r="C370" s="4" t="s">
        <v>156</v>
      </c>
      <c r="D370" s="4" t="s">
        <v>210</v>
      </c>
      <c r="E370" s="4" t="s">
        <v>202</v>
      </c>
      <c r="F370" s="5">
        <v>4.12</v>
      </c>
      <c r="G370" s="5">
        <v>1440</v>
      </c>
      <c r="H370" s="4" t="s">
        <v>99</v>
      </c>
    </row>
    <row r="371" spans="1:8" ht="25" x14ac:dyDescent="0.35">
      <c r="A371" s="2" t="s">
        <v>151</v>
      </c>
      <c r="B371" s="2" t="s">
        <v>152</v>
      </c>
      <c r="C371" s="2" t="s">
        <v>156</v>
      </c>
      <c r="D371" s="2" t="s">
        <v>210</v>
      </c>
      <c r="E371" s="2" t="s">
        <v>203</v>
      </c>
      <c r="F371" s="6">
        <v>3.88</v>
      </c>
      <c r="G371" s="6">
        <v>1440</v>
      </c>
      <c r="H371" s="2" t="s">
        <v>99</v>
      </c>
    </row>
    <row r="372" spans="1:8" ht="25" x14ac:dyDescent="0.35">
      <c r="A372" s="4" t="s">
        <v>151</v>
      </c>
      <c r="B372" s="4" t="s">
        <v>152</v>
      </c>
      <c r="C372" s="4" t="s">
        <v>156</v>
      </c>
      <c r="D372" s="4" t="s">
        <v>210</v>
      </c>
      <c r="E372" s="4" t="s">
        <v>204</v>
      </c>
      <c r="F372" s="5">
        <v>4</v>
      </c>
      <c r="G372" s="5">
        <v>1440</v>
      </c>
      <c r="H372" s="4" t="s">
        <v>99</v>
      </c>
    </row>
    <row r="373" spans="1:8" ht="25" x14ac:dyDescent="0.35">
      <c r="A373" s="2" t="s">
        <v>151</v>
      </c>
      <c r="B373" s="2" t="s">
        <v>152</v>
      </c>
      <c r="C373" s="2" t="s">
        <v>156</v>
      </c>
      <c r="D373" s="2" t="s">
        <v>210</v>
      </c>
      <c r="E373" s="2" t="s">
        <v>205</v>
      </c>
      <c r="F373" s="6">
        <v>4.12</v>
      </c>
      <c r="G373" s="6">
        <v>1440</v>
      </c>
      <c r="H373" s="2" t="s">
        <v>99</v>
      </c>
    </row>
    <row r="374" spans="1:8" ht="25" x14ac:dyDescent="0.35">
      <c r="A374" s="4" t="s">
        <v>151</v>
      </c>
      <c r="B374" s="4" t="s">
        <v>152</v>
      </c>
      <c r="C374" s="4" t="s">
        <v>156</v>
      </c>
      <c r="D374" s="4" t="s">
        <v>210</v>
      </c>
      <c r="E374" s="4" t="s">
        <v>206</v>
      </c>
      <c r="F374" s="5">
        <v>3.88</v>
      </c>
      <c r="G374" s="5">
        <v>1440</v>
      </c>
      <c r="H374" s="4" t="s">
        <v>99</v>
      </c>
    </row>
    <row r="375" spans="1:8" ht="25" x14ac:dyDescent="0.35">
      <c r="A375" s="2" t="s">
        <v>151</v>
      </c>
      <c r="B375" s="2" t="s">
        <v>152</v>
      </c>
      <c r="C375" s="2" t="s">
        <v>156</v>
      </c>
      <c r="D375" s="2" t="s">
        <v>211</v>
      </c>
      <c r="E375" s="2" t="s">
        <v>200</v>
      </c>
      <c r="F375" s="6">
        <v>2.91</v>
      </c>
      <c r="G375" s="6">
        <v>1440</v>
      </c>
      <c r="H375" s="2" t="s">
        <v>99</v>
      </c>
    </row>
    <row r="376" spans="1:8" ht="25" x14ac:dyDescent="0.35">
      <c r="A376" s="4" t="s">
        <v>151</v>
      </c>
      <c r="B376" s="4" t="s">
        <v>152</v>
      </c>
      <c r="C376" s="4" t="s">
        <v>156</v>
      </c>
      <c r="D376" s="4" t="s">
        <v>211</v>
      </c>
      <c r="E376" s="4" t="s">
        <v>201</v>
      </c>
      <c r="F376" s="5">
        <v>3</v>
      </c>
      <c r="G376" s="5">
        <v>1440</v>
      </c>
      <c r="H376" s="4" t="s">
        <v>99</v>
      </c>
    </row>
    <row r="377" spans="1:8" ht="25" x14ac:dyDescent="0.35">
      <c r="A377" s="2" t="s">
        <v>151</v>
      </c>
      <c r="B377" s="2" t="s">
        <v>152</v>
      </c>
      <c r="C377" s="2" t="s">
        <v>156</v>
      </c>
      <c r="D377" s="2" t="s">
        <v>211</v>
      </c>
      <c r="E377" s="2" t="s">
        <v>202</v>
      </c>
      <c r="F377" s="6">
        <v>3.09</v>
      </c>
      <c r="G377" s="6">
        <v>1440</v>
      </c>
      <c r="H377" s="2" t="s">
        <v>99</v>
      </c>
    </row>
    <row r="378" spans="1:8" ht="25" x14ac:dyDescent="0.35">
      <c r="A378" s="4" t="s">
        <v>151</v>
      </c>
      <c r="B378" s="4" t="s">
        <v>152</v>
      </c>
      <c r="C378" s="4" t="s">
        <v>156</v>
      </c>
      <c r="D378" s="4" t="s">
        <v>211</v>
      </c>
      <c r="E378" s="4" t="s">
        <v>203</v>
      </c>
      <c r="F378" s="5">
        <v>2.91</v>
      </c>
      <c r="G378" s="5">
        <v>1440</v>
      </c>
      <c r="H378" s="4" t="s">
        <v>99</v>
      </c>
    </row>
    <row r="379" spans="1:8" ht="25" x14ac:dyDescent="0.35">
      <c r="A379" s="2" t="s">
        <v>151</v>
      </c>
      <c r="B379" s="2" t="s">
        <v>152</v>
      </c>
      <c r="C379" s="2" t="s">
        <v>156</v>
      </c>
      <c r="D379" s="2" t="s">
        <v>211</v>
      </c>
      <c r="E379" s="2" t="s">
        <v>204</v>
      </c>
      <c r="F379" s="6">
        <v>3</v>
      </c>
      <c r="G379" s="6">
        <v>1440</v>
      </c>
      <c r="H379" s="2" t="s">
        <v>99</v>
      </c>
    </row>
    <row r="380" spans="1:8" ht="25" x14ac:dyDescent="0.35">
      <c r="A380" s="4" t="s">
        <v>151</v>
      </c>
      <c r="B380" s="4" t="s">
        <v>152</v>
      </c>
      <c r="C380" s="4" t="s">
        <v>156</v>
      </c>
      <c r="D380" s="4" t="s">
        <v>211</v>
      </c>
      <c r="E380" s="4" t="s">
        <v>205</v>
      </c>
      <c r="F380" s="5">
        <v>3.09</v>
      </c>
      <c r="G380" s="5">
        <v>1440</v>
      </c>
      <c r="H380" s="4" t="s">
        <v>99</v>
      </c>
    </row>
    <row r="381" spans="1:8" ht="25" x14ac:dyDescent="0.35">
      <c r="A381" s="2" t="s">
        <v>151</v>
      </c>
      <c r="B381" s="2" t="s">
        <v>152</v>
      </c>
      <c r="C381" s="2" t="s">
        <v>156</v>
      </c>
      <c r="D381" s="2" t="s">
        <v>211</v>
      </c>
      <c r="E381" s="2" t="s">
        <v>206</v>
      </c>
      <c r="F381" s="6">
        <v>2.91</v>
      </c>
      <c r="G381" s="6">
        <v>1440</v>
      </c>
      <c r="H381" s="2" t="s">
        <v>99</v>
      </c>
    </row>
    <row r="382" spans="1:8" ht="25" x14ac:dyDescent="0.35">
      <c r="A382" s="4" t="s">
        <v>66</v>
      </c>
      <c r="B382" s="4" t="s">
        <v>140</v>
      </c>
      <c r="C382" s="4" t="s">
        <v>141</v>
      </c>
      <c r="D382" s="4" t="s">
        <v>199</v>
      </c>
      <c r="E382" s="4" t="s">
        <v>200</v>
      </c>
      <c r="F382" s="5">
        <v>12.028</v>
      </c>
      <c r="G382" s="5">
        <v>1440</v>
      </c>
      <c r="H382" s="4" t="s">
        <v>96</v>
      </c>
    </row>
    <row r="383" spans="1:8" ht="25" x14ac:dyDescent="0.35">
      <c r="A383" s="2" t="s">
        <v>66</v>
      </c>
      <c r="B383" s="2" t="s">
        <v>140</v>
      </c>
      <c r="C383" s="2" t="s">
        <v>141</v>
      </c>
      <c r="D383" s="2" t="s">
        <v>199</v>
      </c>
      <c r="E383" s="2" t="s">
        <v>201</v>
      </c>
      <c r="F383" s="6">
        <v>12.4</v>
      </c>
      <c r="G383" s="6">
        <v>1440</v>
      </c>
      <c r="H383" s="2" t="s">
        <v>96</v>
      </c>
    </row>
    <row r="384" spans="1:8" ht="25" x14ac:dyDescent="0.35">
      <c r="A384" s="4" t="s">
        <v>66</v>
      </c>
      <c r="B384" s="4" t="s">
        <v>140</v>
      </c>
      <c r="C384" s="4" t="s">
        <v>141</v>
      </c>
      <c r="D384" s="4" t="s">
        <v>199</v>
      </c>
      <c r="E384" s="4" t="s">
        <v>202</v>
      </c>
      <c r="F384" s="5">
        <v>12.772</v>
      </c>
      <c r="G384" s="5">
        <v>1440</v>
      </c>
      <c r="H384" s="4" t="s">
        <v>96</v>
      </c>
    </row>
    <row r="385" spans="1:8" ht="25" x14ac:dyDescent="0.35">
      <c r="A385" s="2" t="s">
        <v>66</v>
      </c>
      <c r="B385" s="2" t="s">
        <v>140</v>
      </c>
      <c r="C385" s="2" t="s">
        <v>141</v>
      </c>
      <c r="D385" s="2" t="s">
        <v>199</v>
      </c>
      <c r="E385" s="2" t="s">
        <v>203</v>
      </c>
      <c r="F385" s="6">
        <v>12.028</v>
      </c>
      <c r="G385" s="6">
        <v>1440</v>
      </c>
      <c r="H385" s="2" t="s">
        <v>96</v>
      </c>
    </row>
    <row r="386" spans="1:8" ht="25" x14ac:dyDescent="0.35">
      <c r="A386" s="4" t="s">
        <v>66</v>
      </c>
      <c r="B386" s="4" t="s">
        <v>140</v>
      </c>
      <c r="C386" s="4" t="s">
        <v>141</v>
      </c>
      <c r="D386" s="4" t="s">
        <v>199</v>
      </c>
      <c r="E386" s="4" t="s">
        <v>204</v>
      </c>
      <c r="F386" s="5">
        <v>12.4</v>
      </c>
      <c r="G386" s="5">
        <v>1440</v>
      </c>
      <c r="H386" s="4" t="s">
        <v>96</v>
      </c>
    </row>
    <row r="387" spans="1:8" ht="25" x14ac:dyDescent="0.35">
      <c r="A387" s="2" t="s">
        <v>66</v>
      </c>
      <c r="B387" s="2" t="s">
        <v>140</v>
      </c>
      <c r="C387" s="2" t="s">
        <v>141</v>
      </c>
      <c r="D387" s="2" t="s">
        <v>199</v>
      </c>
      <c r="E387" s="2" t="s">
        <v>205</v>
      </c>
      <c r="F387" s="6">
        <v>12.772</v>
      </c>
      <c r="G387" s="6">
        <v>1440</v>
      </c>
      <c r="H387" s="2" t="s">
        <v>96</v>
      </c>
    </row>
    <row r="388" spans="1:8" ht="25" x14ac:dyDescent="0.35">
      <c r="A388" s="4" t="s">
        <v>66</v>
      </c>
      <c r="B388" s="4" t="s">
        <v>140</v>
      </c>
      <c r="C388" s="4" t="s">
        <v>141</v>
      </c>
      <c r="D388" s="4" t="s">
        <v>199</v>
      </c>
      <c r="E388" s="4" t="s">
        <v>206</v>
      </c>
      <c r="F388" s="5">
        <v>12.028</v>
      </c>
      <c r="G388" s="5">
        <v>1440</v>
      </c>
      <c r="H388" s="4" t="s">
        <v>96</v>
      </c>
    </row>
    <row r="389" spans="1:8" ht="25" x14ac:dyDescent="0.35">
      <c r="A389" s="2" t="s">
        <v>66</v>
      </c>
      <c r="B389" s="2" t="s">
        <v>140</v>
      </c>
      <c r="C389" s="2" t="s">
        <v>141</v>
      </c>
      <c r="D389" s="2" t="s">
        <v>207</v>
      </c>
      <c r="E389" s="2" t="s">
        <v>200</v>
      </c>
      <c r="F389" s="6">
        <v>81.48</v>
      </c>
      <c r="G389" s="6">
        <v>1440</v>
      </c>
      <c r="H389" s="2" t="s">
        <v>96</v>
      </c>
    </row>
    <row r="390" spans="1:8" ht="25" x14ac:dyDescent="0.35">
      <c r="A390" s="4" t="s">
        <v>66</v>
      </c>
      <c r="B390" s="4" t="s">
        <v>140</v>
      </c>
      <c r="C390" s="4" t="s">
        <v>141</v>
      </c>
      <c r="D390" s="4" t="s">
        <v>207</v>
      </c>
      <c r="E390" s="4" t="s">
        <v>201</v>
      </c>
      <c r="F390" s="5">
        <v>84</v>
      </c>
      <c r="G390" s="5">
        <v>1440</v>
      </c>
      <c r="H390" s="4" t="s">
        <v>96</v>
      </c>
    </row>
    <row r="391" spans="1:8" ht="25" x14ac:dyDescent="0.35">
      <c r="A391" s="2" t="s">
        <v>66</v>
      </c>
      <c r="B391" s="2" t="s">
        <v>140</v>
      </c>
      <c r="C391" s="2" t="s">
        <v>141</v>
      </c>
      <c r="D391" s="2" t="s">
        <v>207</v>
      </c>
      <c r="E391" s="2" t="s">
        <v>202</v>
      </c>
      <c r="F391" s="6">
        <v>86.52</v>
      </c>
      <c r="G391" s="6">
        <v>1440</v>
      </c>
      <c r="H391" s="2" t="s">
        <v>96</v>
      </c>
    </row>
    <row r="392" spans="1:8" ht="25" x14ac:dyDescent="0.35">
      <c r="A392" s="4" t="s">
        <v>66</v>
      </c>
      <c r="B392" s="4" t="s">
        <v>140</v>
      </c>
      <c r="C392" s="4" t="s">
        <v>141</v>
      </c>
      <c r="D392" s="4" t="s">
        <v>207</v>
      </c>
      <c r="E392" s="4" t="s">
        <v>203</v>
      </c>
      <c r="F392" s="5">
        <v>81.48</v>
      </c>
      <c r="G392" s="5">
        <v>1440</v>
      </c>
      <c r="H392" s="4" t="s">
        <v>96</v>
      </c>
    </row>
    <row r="393" spans="1:8" ht="25" x14ac:dyDescent="0.35">
      <c r="A393" s="2" t="s">
        <v>66</v>
      </c>
      <c r="B393" s="2" t="s">
        <v>140</v>
      </c>
      <c r="C393" s="2" t="s">
        <v>141</v>
      </c>
      <c r="D393" s="2" t="s">
        <v>207</v>
      </c>
      <c r="E393" s="2" t="s">
        <v>204</v>
      </c>
      <c r="F393" s="6">
        <v>84</v>
      </c>
      <c r="G393" s="6">
        <v>1440</v>
      </c>
      <c r="H393" s="2" t="s">
        <v>96</v>
      </c>
    </row>
    <row r="394" spans="1:8" ht="25" x14ac:dyDescent="0.35">
      <c r="A394" s="4" t="s">
        <v>66</v>
      </c>
      <c r="B394" s="4" t="s">
        <v>140</v>
      </c>
      <c r="C394" s="4" t="s">
        <v>141</v>
      </c>
      <c r="D394" s="4" t="s">
        <v>207</v>
      </c>
      <c r="E394" s="4" t="s">
        <v>205</v>
      </c>
      <c r="F394" s="5">
        <v>86.52</v>
      </c>
      <c r="G394" s="5">
        <v>1440</v>
      </c>
      <c r="H394" s="4" t="s">
        <v>96</v>
      </c>
    </row>
    <row r="395" spans="1:8" ht="25" x14ac:dyDescent="0.35">
      <c r="A395" s="2" t="s">
        <v>66</v>
      </c>
      <c r="B395" s="2" t="s">
        <v>140</v>
      </c>
      <c r="C395" s="2" t="s">
        <v>141</v>
      </c>
      <c r="D395" s="2" t="s">
        <v>207</v>
      </c>
      <c r="E395" s="2" t="s">
        <v>206</v>
      </c>
      <c r="F395" s="6">
        <v>81.48</v>
      </c>
      <c r="G395" s="6">
        <v>1440</v>
      </c>
      <c r="H395" s="2" t="s">
        <v>96</v>
      </c>
    </row>
    <row r="396" spans="1:8" ht="25" x14ac:dyDescent="0.35">
      <c r="A396" s="4" t="s">
        <v>66</v>
      </c>
      <c r="B396" s="4" t="s">
        <v>140</v>
      </c>
      <c r="C396" s="4" t="s">
        <v>141</v>
      </c>
      <c r="D396" s="4" t="s">
        <v>208</v>
      </c>
      <c r="E396" s="4" t="s">
        <v>200</v>
      </c>
      <c r="F396" s="5">
        <v>13.58</v>
      </c>
      <c r="G396" s="5">
        <v>1440</v>
      </c>
      <c r="H396" s="4" t="s">
        <v>96</v>
      </c>
    </row>
    <row r="397" spans="1:8" ht="25" x14ac:dyDescent="0.35">
      <c r="A397" s="2" t="s">
        <v>66</v>
      </c>
      <c r="B397" s="2" t="s">
        <v>140</v>
      </c>
      <c r="C397" s="2" t="s">
        <v>141</v>
      </c>
      <c r="D397" s="2" t="s">
        <v>208</v>
      </c>
      <c r="E397" s="2" t="s">
        <v>201</v>
      </c>
      <c r="F397" s="6">
        <v>14</v>
      </c>
      <c r="G397" s="6">
        <v>1440</v>
      </c>
      <c r="H397" s="2" t="s">
        <v>96</v>
      </c>
    </row>
    <row r="398" spans="1:8" ht="25" x14ac:dyDescent="0.35">
      <c r="A398" s="4" t="s">
        <v>66</v>
      </c>
      <c r="B398" s="4" t="s">
        <v>140</v>
      </c>
      <c r="C398" s="4" t="s">
        <v>141</v>
      </c>
      <c r="D398" s="4" t="s">
        <v>208</v>
      </c>
      <c r="E398" s="4" t="s">
        <v>202</v>
      </c>
      <c r="F398" s="5">
        <v>14.42</v>
      </c>
      <c r="G398" s="5">
        <v>1440</v>
      </c>
      <c r="H398" s="4" t="s">
        <v>96</v>
      </c>
    </row>
    <row r="399" spans="1:8" ht="25" x14ac:dyDescent="0.35">
      <c r="A399" s="2" t="s">
        <v>66</v>
      </c>
      <c r="B399" s="2" t="s">
        <v>140</v>
      </c>
      <c r="C399" s="2" t="s">
        <v>141</v>
      </c>
      <c r="D399" s="2" t="s">
        <v>208</v>
      </c>
      <c r="E399" s="2" t="s">
        <v>203</v>
      </c>
      <c r="F399" s="6">
        <v>13.58</v>
      </c>
      <c r="G399" s="6">
        <v>1440</v>
      </c>
      <c r="H399" s="2" t="s">
        <v>96</v>
      </c>
    </row>
    <row r="400" spans="1:8" ht="25" x14ac:dyDescent="0.35">
      <c r="A400" s="4" t="s">
        <v>66</v>
      </c>
      <c r="B400" s="4" t="s">
        <v>140</v>
      </c>
      <c r="C400" s="4" t="s">
        <v>141</v>
      </c>
      <c r="D400" s="4" t="s">
        <v>208</v>
      </c>
      <c r="E400" s="4" t="s">
        <v>204</v>
      </c>
      <c r="F400" s="5">
        <v>14</v>
      </c>
      <c r="G400" s="5">
        <v>1440</v>
      </c>
      <c r="H400" s="4" t="s">
        <v>96</v>
      </c>
    </row>
    <row r="401" spans="1:8" ht="25" x14ac:dyDescent="0.35">
      <c r="A401" s="2" t="s">
        <v>66</v>
      </c>
      <c r="B401" s="2" t="s">
        <v>140</v>
      </c>
      <c r="C401" s="2" t="s">
        <v>141</v>
      </c>
      <c r="D401" s="2" t="s">
        <v>208</v>
      </c>
      <c r="E401" s="2" t="s">
        <v>205</v>
      </c>
      <c r="F401" s="6">
        <v>14.42</v>
      </c>
      <c r="G401" s="6">
        <v>1440</v>
      </c>
      <c r="H401" s="2" t="s">
        <v>96</v>
      </c>
    </row>
    <row r="402" spans="1:8" ht="25" x14ac:dyDescent="0.35">
      <c r="A402" s="4" t="s">
        <v>66</v>
      </c>
      <c r="B402" s="4" t="s">
        <v>140</v>
      </c>
      <c r="C402" s="4" t="s">
        <v>141</v>
      </c>
      <c r="D402" s="4" t="s">
        <v>208</v>
      </c>
      <c r="E402" s="4" t="s">
        <v>206</v>
      </c>
      <c r="F402" s="5">
        <v>13.58</v>
      </c>
      <c r="G402" s="5">
        <v>1440</v>
      </c>
      <c r="H402" s="4" t="s">
        <v>96</v>
      </c>
    </row>
    <row r="403" spans="1:8" ht="25" x14ac:dyDescent="0.35">
      <c r="A403" s="2" t="s">
        <v>66</v>
      </c>
      <c r="B403" s="2" t="s">
        <v>140</v>
      </c>
      <c r="C403" s="2" t="s">
        <v>141</v>
      </c>
      <c r="D403" s="2" t="s">
        <v>209</v>
      </c>
      <c r="E403" s="2" t="s">
        <v>200</v>
      </c>
      <c r="F403" s="6">
        <v>20.37</v>
      </c>
      <c r="G403" s="6">
        <v>1440</v>
      </c>
      <c r="H403" s="2" t="s">
        <v>96</v>
      </c>
    </row>
    <row r="404" spans="1:8" ht="25" x14ac:dyDescent="0.35">
      <c r="A404" s="4" t="s">
        <v>66</v>
      </c>
      <c r="B404" s="4" t="s">
        <v>140</v>
      </c>
      <c r="C404" s="4" t="s">
        <v>141</v>
      </c>
      <c r="D404" s="4" t="s">
        <v>209</v>
      </c>
      <c r="E404" s="4" t="s">
        <v>201</v>
      </c>
      <c r="F404" s="5">
        <v>21</v>
      </c>
      <c r="G404" s="5">
        <v>1440</v>
      </c>
      <c r="H404" s="4" t="s">
        <v>96</v>
      </c>
    </row>
    <row r="405" spans="1:8" ht="25" x14ac:dyDescent="0.35">
      <c r="A405" s="2" t="s">
        <v>66</v>
      </c>
      <c r="B405" s="2" t="s">
        <v>140</v>
      </c>
      <c r="C405" s="2" t="s">
        <v>141</v>
      </c>
      <c r="D405" s="2" t="s">
        <v>209</v>
      </c>
      <c r="E405" s="2" t="s">
        <v>202</v>
      </c>
      <c r="F405" s="6">
        <v>21.63</v>
      </c>
      <c r="G405" s="6">
        <v>1440</v>
      </c>
      <c r="H405" s="2" t="s">
        <v>96</v>
      </c>
    </row>
    <row r="406" spans="1:8" ht="25" x14ac:dyDescent="0.35">
      <c r="A406" s="4" t="s">
        <v>66</v>
      </c>
      <c r="B406" s="4" t="s">
        <v>140</v>
      </c>
      <c r="C406" s="4" t="s">
        <v>141</v>
      </c>
      <c r="D406" s="4" t="s">
        <v>209</v>
      </c>
      <c r="E406" s="4" t="s">
        <v>203</v>
      </c>
      <c r="F406" s="5">
        <v>20.37</v>
      </c>
      <c r="G406" s="5">
        <v>1440</v>
      </c>
      <c r="H406" s="4" t="s">
        <v>96</v>
      </c>
    </row>
    <row r="407" spans="1:8" ht="25" x14ac:dyDescent="0.35">
      <c r="A407" s="2" t="s">
        <v>66</v>
      </c>
      <c r="B407" s="2" t="s">
        <v>140</v>
      </c>
      <c r="C407" s="2" t="s">
        <v>141</v>
      </c>
      <c r="D407" s="2" t="s">
        <v>209</v>
      </c>
      <c r="E407" s="2" t="s">
        <v>204</v>
      </c>
      <c r="F407" s="6">
        <v>21</v>
      </c>
      <c r="G407" s="6">
        <v>1440</v>
      </c>
      <c r="H407" s="2" t="s">
        <v>96</v>
      </c>
    </row>
    <row r="408" spans="1:8" ht="25" x14ac:dyDescent="0.35">
      <c r="A408" s="4" t="s">
        <v>66</v>
      </c>
      <c r="B408" s="4" t="s">
        <v>140</v>
      </c>
      <c r="C408" s="4" t="s">
        <v>141</v>
      </c>
      <c r="D408" s="4" t="s">
        <v>209</v>
      </c>
      <c r="E408" s="4" t="s">
        <v>205</v>
      </c>
      <c r="F408" s="5">
        <v>21.63</v>
      </c>
      <c r="G408" s="5">
        <v>1440</v>
      </c>
      <c r="H408" s="4" t="s">
        <v>96</v>
      </c>
    </row>
    <row r="409" spans="1:8" ht="25" x14ac:dyDescent="0.35">
      <c r="A409" s="2" t="s">
        <v>66</v>
      </c>
      <c r="B409" s="2" t="s">
        <v>140</v>
      </c>
      <c r="C409" s="2" t="s">
        <v>141</v>
      </c>
      <c r="D409" s="2" t="s">
        <v>209</v>
      </c>
      <c r="E409" s="2" t="s">
        <v>206</v>
      </c>
      <c r="F409" s="6">
        <v>20.37</v>
      </c>
      <c r="G409" s="6">
        <v>1440</v>
      </c>
      <c r="H409" s="2" t="s">
        <v>96</v>
      </c>
    </row>
    <row r="410" spans="1:8" ht="25" x14ac:dyDescent="0.35">
      <c r="A410" s="4" t="s">
        <v>66</v>
      </c>
      <c r="B410" s="4" t="s">
        <v>140</v>
      </c>
      <c r="C410" s="4" t="s">
        <v>141</v>
      </c>
      <c r="D410" s="4" t="s">
        <v>210</v>
      </c>
      <c r="E410" s="4" t="s">
        <v>200</v>
      </c>
      <c r="F410" s="5">
        <v>6.79</v>
      </c>
      <c r="G410" s="5">
        <v>1440</v>
      </c>
      <c r="H410" s="4" t="s">
        <v>96</v>
      </c>
    </row>
    <row r="411" spans="1:8" ht="25" x14ac:dyDescent="0.35">
      <c r="A411" s="2" t="s">
        <v>66</v>
      </c>
      <c r="B411" s="2" t="s">
        <v>140</v>
      </c>
      <c r="C411" s="2" t="s">
        <v>141</v>
      </c>
      <c r="D411" s="2" t="s">
        <v>210</v>
      </c>
      <c r="E411" s="2" t="s">
        <v>201</v>
      </c>
      <c r="F411" s="6">
        <v>7</v>
      </c>
      <c r="G411" s="6">
        <v>1440</v>
      </c>
      <c r="H411" s="2" t="s">
        <v>96</v>
      </c>
    </row>
    <row r="412" spans="1:8" ht="25" x14ac:dyDescent="0.35">
      <c r="A412" s="4" t="s">
        <v>66</v>
      </c>
      <c r="B412" s="4" t="s">
        <v>140</v>
      </c>
      <c r="C412" s="4" t="s">
        <v>141</v>
      </c>
      <c r="D412" s="4" t="s">
        <v>210</v>
      </c>
      <c r="E412" s="4" t="s">
        <v>202</v>
      </c>
      <c r="F412" s="5">
        <v>7.21</v>
      </c>
      <c r="G412" s="5">
        <v>1440</v>
      </c>
      <c r="H412" s="4" t="s">
        <v>96</v>
      </c>
    </row>
    <row r="413" spans="1:8" ht="25" x14ac:dyDescent="0.35">
      <c r="A413" s="2" t="s">
        <v>66</v>
      </c>
      <c r="B413" s="2" t="s">
        <v>140</v>
      </c>
      <c r="C413" s="2" t="s">
        <v>141</v>
      </c>
      <c r="D413" s="2" t="s">
        <v>210</v>
      </c>
      <c r="E413" s="2" t="s">
        <v>203</v>
      </c>
      <c r="F413" s="6">
        <v>6.79</v>
      </c>
      <c r="G413" s="6">
        <v>1440</v>
      </c>
      <c r="H413" s="2" t="s">
        <v>96</v>
      </c>
    </row>
    <row r="414" spans="1:8" ht="25" x14ac:dyDescent="0.35">
      <c r="A414" s="4" t="s">
        <v>66</v>
      </c>
      <c r="B414" s="4" t="s">
        <v>140</v>
      </c>
      <c r="C414" s="4" t="s">
        <v>141</v>
      </c>
      <c r="D414" s="4" t="s">
        <v>210</v>
      </c>
      <c r="E414" s="4" t="s">
        <v>204</v>
      </c>
      <c r="F414" s="5">
        <v>7</v>
      </c>
      <c r="G414" s="5">
        <v>1440</v>
      </c>
      <c r="H414" s="4" t="s">
        <v>96</v>
      </c>
    </row>
    <row r="415" spans="1:8" ht="25" x14ac:dyDescent="0.35">
      <c r="A415" s="2" t="s">
        <v>66</v>
      </c>
      <c r="B415" s="2" t="s">
        <v>140</v>
      </c>
      <c r="C415" s="2" t="s">
        <v>141</v>
      </c>
      <c r="D415" s="2" t="s">
        <v>210</v>
      </c>
      <c r="E415" s="2" t="s">
        <v>205</v>
      </c>
      <c r="F415" s="6">
        <v>7.21</v>
      </c>
      <c r="G415" s="6">
        <v>1440</v>
      </c>
      <c r="H415" s="2" t="s">
        <v>96</v>
      </c>
    </row>
    <row r="416" spans="1:8" ht="25" x14ac:dyDescent="0.35">
      <c r="A416" s="4" t="s">
        <v>66</v>
      </c>
      <c r="B416" s="4" t="s">
        <v>140</v>
      </c>
      <c r="C416" s="4" t="s">
        <v>141</v>
      </c>
      <c r="D416" s="4" t="s">
        <v>210</v>
      </c>
      <c r="E416" s="4" t="s">
        <v>206</v>
      </c>
      <c r="F416" s="5">
        <v>6.79</v>
      </c>
      <c r="G416" s="5">
        <v>1440</v>
      </c>
      <c r="H416" s="4" t="s">
        <v>96</v>
      </c>
    </row>
    <row r="417" spans="1:8" ht="25" x14ac:dyDescent="0.35">
      <c r="A417" s="2" t="s">
        <v>66</v>
      </c>
      <c r="B417" s="2" t="s">
        <v>140</v>
      </c>
      <c r="C417" s="2" t="s">
        <v>141</v>
      </c>
      <c r="D417" s="2" t="s">
        <v>211</v>
      </c>
      <c r="E417" s="2" t="s">
        <v>200</v>
      </c>
      <c r="F417" s="6">
        <v>4.8499999999999996</v>
      </c>
      <c r="G417" s="6">
        <v>1440</v>
      </c>
      <c r="H417" s="2" t="s">
        <v>96</v>
      </c>
    </row>
    <row r="418" spans="1:8" ht="25" x14ac:dyDescent="0.35">
      <c r="A418" s="4" t="s">
        <v>66</v>
      </c>
      <c r="B418" s="4" t="s">
        <v>140</v>
      </c>
      <c r="C418" s="4" t="s">
        <v>141</v>
      </c>
      <c r="D418" s="4" t="s">
        <v>211</v>
      </c>
      <c r="E418" s="4" t="s">
        <v>201</v>
      </c>
      <c r="F418" s="5">
        <v>5</v>
      </c>
      <c r="G418" s="5">
        <v>1440</v>
      </c>
      <c r="H418" s="4" t="s">
        <v>96</v>
      </c>
    </row>
    <row r="419" spans="1:8" ht="25" x14ac:dyDescent="0.35">
      <c r="A419" s="2" t="s">
        <v>66</v>
      </c>
      <c r="B419" s="2" t="s">
        <v>140</v>
      </c>
      <c r="C419" s="2" t="s">
        <v>141</v>
      </c>
      <c r="D419" s="2" t="s">
        <v>211</v>
      </c>
      <c r="E419" s="2" t="s">
        <v>202</v>
      </c>
      <c r="F419" s="6">
        <v>5.15</v>
      </c>
      <c r="G419" s="6">
        <v>1440</v>
      </c>
      <c r="H419" s="2" t="s">
        <v>96</v>
      </c>
    </row>
    <row r="420" spans="1:8" ht="25" x14ac:dyDescent="0.35">
      <c r="A420" s="4" t="s">
        <v>66</v>
      </c>
      <c r="B420" s="4" t="s">
        <v>140</v>
      </c>
      <c r="C420" s="4" t="s">
        <v>141</v>
      </c>
      <c r="D420" s="4" t="s">
        <v>211</v>
      </c>
      <c r="E420" s="4" t="s">
        <v>203</v>
      </c>
      <c r="F420" s="5">
        <v>4.8499999999999996</v>
      </c>
      <c r="G420" s="5">
        <v>1440</v>
      </c>
      <c r="H420" s="4" t="s">
        <v>96</v>
      </c>
    </row>
    <row r="421" spans="1:8" ht="25" x14ac:dyDescent="0.35">
      <c r="A421" s="2" t="s">
        <v>66</v>
      </c>
      <c r="B421" s="2" t="s">
        <v>140</v>
      </c>
      <c r="C421" s="2" t="s">
        <v>141</v>
      </c>
      <c r="D421" s="2" t="s">
        <v>211</v>
      </c>
      <c r="E421" s="2" t="s">
        <v>204</v>
      </c>
      <c r="F421" s="6">
        <v>5</v>
      </c>
      <c r="G421" s="6">
        <v>1440</v>
      </c>
      <c r="H421" s="2" t="s">
        <v>96</v>
      </c>
    </row>
    <row r="422" spans="1:8" ht="25" x14ac:dyDescent="0.35">
      <c r="A422" s="4" t="s">
        <v>66</v>
      </c>
      <c r="B422" s="4" t="s">
        <v>140</v>
      </c>
      <c r="C422" s="4" t="s">
        <v>141</v>
      </c>
      <c r="D422" s="4" t="s">
        <v>211</v>
      </c>
      <c r="E422" s="4" t="s">
        <v>205</v>
      </c>
      <c r="F422" s="5">
        <v>5.15</v>
      </c>
      <c r="G422" s="5">
        <v>1440</v>
      </c>
      <c r="H422" s="4" t="s">
        <v>96</v>
      </c>
    </row>
    <row r="423" spans="1:8" ht="25" x14ac:dyDescent="0.35">
      <c r="A423" s="2" t="s">
        <v>66</v>
      </c>
      <c r="B423" s="2" t="s">
        <v>140</v>
      </c>
      <c r="C423" s="2" t="s">
        <v>141</v>
      </c>
      <c r="D423" s="2" t="s">
        <v>211</v>
      </c>
      <c r="E423" s="2" t="s">
        <v>206</v>
      </c>
      <c r="F423" s="6">
        <v>4.8499999999999996</v>
      </c>
      <c r="G423" s="6">
        <v>1440</v>
      </c>
      <c r="H423" s="2" t="s">
        <v>96</v>
      </c>
    </row>
    <row r="424" spans="1:8" ht="25" x14ac:dyDescent="0.35">
      <c r="A424" s="4" t="s">
        <v>66</v>
      </c>
      <c r="B424" s="4" t="s">
        <v>140</v>
      </c>
      <c r="C424" s="4" t="s">
        <v>147</v>
      </c>
      <c r="D424" s="4" t="s">
        <v>199</v>
      </c>
      <c r="E424" s="4" t="s">
        <v>200</v>
      </c>
      <c r="F424" s="5">
        <v>30.07</v>
      </c>
      <c r="G424" s="5">
        <v>1440</v>
      </c>
      <c r="H424" s="4" t="s">
        <v>97</v>
      </c>
    </row>
    <row r="425" spans="1:8" ht="25" x14ac:dyDescent="0.35">
      <c r="A425" s="2" t="s">
        <v>66</v>
      </c>
      <c r="B425" s="2" t="s">
        <v>140</v>
      </c>
      <c r="C425" s="2" t="s">
        <v>147</v>
      </c>
      <c r="D425" s="2" t="s">
        <v>199</v>
      </c>
      <c r="E425" s="2" t="s">
        <v>201</v>
      </c>
      <c r="F425" s="6">
        <v>31</v>
      </c>
      <c r="G425" s="6">
        <v>1440</v>
      </c>
      <c r="H425" s="2" t="s">
        <v>97</v>
      </c>
    </row>
    <row r="426" spans="1:8" ht="25" x14ac:dyDescent="0.35">
      <c r="A426" s="4" t="s">
        <v>66</v>
      </c>
      <c r="B426" s="4" t="s">
        <v>140</v>
      </c>
      <c r="C426" s="4" t="s">
        <v>147</v>
      </c>
      <c r="D426" s="4" t="s">
        <v>199</v>
      </c>
      <c r="E426" s="4" t="s">
        <v>202</v>
      </c>
      <c r="F426" s="5">
        <v>31.93</v>
      </c>
      <c r="G426" s="5">
        <v>1440</v>
      </c>
      <c r="H426" s="4" t="s">
        <v>97</v>
      </c>
    </row>
    <row r="427" spans="1:8" ht="25" x14ac:dyDescent="0.35">
      <c r="A427" s="2" t="s">
        <v>66</v>
      </c>
      <c r="B427" s="2" t="s">
        <v>140</v>
      </c>
      <c r="C427" s="2" t="s">
        <v>147</v>
      </c>
      <c r="D427" s="2" t="s">
        <v>199</v>
      </c>
      <c r="E427" s="2" t="s">
        <v>203</v>
      </c>
      <c r="F427" s="6">
        <v>30.07</v>
      </c>
      <c r="G427" s="6">
        <v>1440</v>
      </c>
      <c r="H427" s="2" t="s">
        <v>97</v>
      </c>
    </row>
    <row r="428" spans="1:8" ht="25" x14ac:dyDescent="0.35">
      <c r="A428" s="4" t="s">
        <v>66</v>
      </c>
      <c r="B428" s="4" t="s">
        <v>140</v>
      </c>
      <c r="C428" s="4" t="s">
        <v>147</v>
      </c>
      <c r="D428" s="4" t="s">
        <v>199</v>
      </c>
      <c r="E428" s="4" t="s">
        <v>204</v>
      </c>
      <c r="F428" s="5">
        <v>31</v>
      </c>
      <c r="G428" s="5">
        <v>1440</v>
      </c>
      <c r="H428" s="4" t="s">
        <v>97</v>
      </c>
    </row>
    <row r="429" spans="1:8" ht="25" x14ac:dyDescent="0.35">
      <c r="A429" s="2" t="s">
        <v>66</v>
      </c>
      <c r="B429" s="2" t="s">
        <v>140</v>
      </c>
      <c r="C429" s="2" t="s">
        <v>147</v>
      </c>
      <c r="D429" s="2" t="s">
        <v>199</v>
      </c>
      <c r="E429" s="2" t="s">
        <v>205</v>
      </c>
      <c r="F429" s="6">
        <v>31.93</v>
      </c>
      <c r="G429" s="6">
        <v>1440</v>
      </c>
      <c r="H429" s="2" t="s">
        <v>97</v>
      </c>
    </row>
    <row r="430" spans="1:8" ht="25" x14ac:dyDescent="0.35">
      <c r="A430" s="4" t="s">
        <v>66</v>
      </c>
      <c r="B430" s="4" t="s">
        <v>140</v>
      </c>
      <c r="C430" s="4" t="s">
        <v>147</v>
      </c>
      <c r="D430" s="4" t="s">
        <v>199</v>
      </c>
      <c r="E430" s="4" t="s">
        <v>206</v>
      </c>
      <c r="F430" s="5">
        <v>30.07</v>
      </c>
      <c r="G430" s="5">
        <v>1440</v>
      </c>
      <c r="H430" s="4" t="s">
        <v>97</v>
      </c>
    </row>
    <row r="431" spans="1:8" ht="25" x14ac:dyDescent="0.35">
      <c r="A431" s="2" t="s">
        <v>66</v>
      </c>
      <c r="B431" s="2" t="s">
        <v>140</v>
      </c>
      <c r="C431" s="2" t="s">
        <v>147</v>
      </c>
      <c r="D431" s="2" t="s">
        <v>207</v>
      </c>
      <c r="E431" s="2" t="s">
        <v>200</v>
      </c>
      <c r="F431" s="6">
        <v>60.14</v>
      </c>
      <c r="G431" s="6">
        <v>1440</v>
      </c>
      <c r="H431" s="2" t="s">
        <v>97</v>
      </c>
    </row>
    <row r="432" spans="1:8" ht="25" x14ac:dyDescent="0.35">
      <c r="A432" s="4" t="s">
        <v>66</v>
      </c>
      <c r="B432" s="4" t="s">
        <v>140</v>
      </c>
      <c r="C432" s="4" t="s">
        <v>147</v>
      </c>
      <c r="D432" s="4" t="s">
        <v>207</v>
      </c>
      <c r="E432" s="4" t="s">
        <v>201</v>
      </c>
      <c r="F432" s="5">
        <v>62</v>
      </c>
      <c r="G432" s="5">
        <v>1440</v>
      </c>
      <c r="H432" s="4" t="s">
        <v>97</v>
      </c>
    </row>
    <row r="433" spans="1:8" ht="25" x14ac:dyDescent="0.35">
      <c r="A433" s="2" t="s">
        <v>66</v>
      </c>
      <c r="B433" s="2" t="s">
        <v>140</v>
      </c>
      <c r="C433" s="2" t="s">
        <v>147</v>
      </c>
      <c r="D433" s="2" t="s">
        <v>207</v>
      </c>
      <c r="E433" s="2" t="s">
        <v>202</v>
      </c>
      <c r="F433" s="6">
        <v>63.86</v>
      </c>
      <c r="G433" s="6">
        <v>1440</v>
      </c>
      <c r="H433" s="2" t="s">
        <v>97</v>
      </c>
    </row>
    <row r="434" spans="1:8" ht="25" x14ac:dyDescent="0.35">
      <c r="A434" s="4" t="s">
        <v>66</v>
      </c>
      <c r="B434" s="4" t="s">
        <v>140</v>
      </c>
      <c r="C434" s="4" t="s">
        <v>147</v>
      </c>
      <c r="D434" s="4" t="s">
        <v>207</v>
      </c>
      <c r="E434" s="4" t="s">
        <v>203</v>
      </c>
      <c r="F434" s="5">
        <v>60.14</v>
      </c>
      <c r="G434" s="5">
        <v>1440</v>
      </c>
      <c r="H434" s="4" t="s">
        <v>97</v>
      </c>
    </row>
    <row r="435" spans="1:8" ht="25" x14ac:dyDescent="0.35">
      <c r="A435" s="2" t="s">
        <v>66</v>
      </c>
      <c r="B435" s="2" t="s">
        <v>140</v>
      </c>
      <c r="C435" s="2" t="s">
        <v>147</v>
      </c>
      <c r="D435" s="2" t="s">
        <v>207</v>
      </c>
      <c r="E435" s="2" t="s">
        <v>204</v>
      </c>
      <c r="F435" s="6">
        <v>62</v>
      </c>
      <c r="G435" s="6">
        <v>1440</v>
      </c>
      <c r="H435" s="2" t="s">
        <v>97</v>
      </c>
    </row>
    <row r="436" spans="1:8" ht="25" x14ac:dyDescent="0.35">
      <c r="A436" s="4" t="s">
        <v>66</v>
      </c>
      <c r="B436" s="4" t="s">
        <v>140</v>
      </c>
      <c r="C436" s="4" t="s">
        <v>147</v>
      </c>
      <c r="D436" s="4" t="s">
        <v>207</v>
      </c>
      <c r="E436" s="4" t="s">
        <v>205</v>
      </c>
      <c r="F436" s="5">
        <v>63.86</v>
      </c>
      <c r="G436" s="5">
        <v>1440</v>
      </c>
      <c r="H436" s="4" t="s">
        <v>97</v>
      </c>
    </row>
    <row r="437" spans="1:8" ht="25" x14ac:dyDescent="0.35">
      <c r="A437" s="2" t="s">
        <v>66</v>
      </c>
      <c r="B437" s="2" t="s">
        <v>140</v>
      </c>
      <c r="C437" s="2" t="s">
        <v>147</v>
      </c>
      <c r="D437" s="2" t="s">
        <v>207</v>
      </c>
      <c r="E437" s="2" t="s">
        <v>206</v>
      </c>
      <c r="F437" s="6">
        <v>60.14</v>
      </c>
      <c r="G437" s="6">
        <v>1440</v>
      </c>
      <c r="H437" s="2" t="s">
        <v>97</v>
      </c>
    </row>
    <row r="438" spans="1:8" ht="25" x14ac:dyDescent="0.35">
      <c r="A438" s="4" t="s">
        <v>66</v>
      </c>
      <c r="B438" s="4" t="s">
        <v>140</v>
      </c>
      <c r="C438" s="4" t="s">
        <v>147</v>
      </c>
      <c r="D438" s="4" t="s">
        <v>208</v>
      </c>
      <c r="E438" s="4" t="s">
        <v>200</v>
      </c>
      <c r="F438" s="5">
        <v>10.67</v>
      </c>
      <c r="G438" s="5">
        <v>1440</v>
      </c>
      <c r="H438" s="4" t="s">
        <v>97</v>
      </c>
    </row>
    <row r="439" spans="1:8" ht="25" x14ac:dyDescent="0.35">
      <c r="A439" s="2" t="s">
        <v>66</v>
      </c>
      <c r="B439" s="2" t="s">
        <v>140</v>
      </c>
      <c r="C439" s="2" t="s">
        <v>147</v>
      </c>
      <c r="D439" s="2" t="s">
        <v>208</v>
      </c>
      <c r="E439" s="2" t="s">
        <v>201</v>
      </c>
      <c r="F439" s="6">
        <v>11</v>
      </c>
      <c r="G439" s="6">
        <v>1440</v>
      </c>
      <c r="H439" s="2" t="s">
        <v>97</v>
      </c>
    </row>
    <row r="440" spans="1:8" ht="25" x14ac:dyDescent="0.35">
      <c r="A440" s="4" t="s">
        <v>66</v>
      </c>
      <c r="B440" s="4" t="s">
        <v>140</v>
      </c>
      <c r="C440" s="4" t="s">
        <v>147</v>
      </c>
      <c r="D440" s="4" t="s">
        <v>208</v>
      </c>
      <c r="E440" s="4" t="s">
        <v>202</v>
      </c>
      <c r="F440" s="5">
        <v>11.33</v>
      </c>
      <c r="G440" s="5">
        <v>1440</v>
      </c>
      <c r="H440" s="4" t="s">
        <v>97</v>
      </c>
    </row>
    <row r="441" spans="1:8" ht="25" x14ac:dyDescent="0.35">
      <c r="A441" s="2" t="s">
        <v>66</v>
      </c>
      <c r="B441" s="2" t="s">
        <v>140</v>
      </c>
      <c r="C441" s="2" t="s">
        <v>147</v>
      </c>
      <c r="D441" s="2" t="s">
        <v>208</v>
      </c>
      <c r="E441" s="2" t="s">
        <v>203</v>
      </c>
      <c r="F441" s="6">
        <v>10.67</v>
      </c>
      <c r="G441" s="6">
        <v>1440</v>
      </c>
      <c r="H441" s="2" t="s">
        <v>97</v>
      </c>
    </row>
    <row r="442" spans="1:8" ht="25" x14ac:dyDescent="0.35">
      <c r="A442" s="4" t="s">
        <v>66</v>
      </c>
      <c r="B442" s="4" t="s">
        <v>140</v>
      </c>
      <c r="C442" s="4" t="s">
        <v>147</v>
      </c>
      <c r="D442" s="4" t="s">
        <v>208</v>
      </c>
      <c r="E442" s="4" t="s">
        <v>204</v>
      </c>
      <c r="F442" s="5">
        <v>11</v>
      </c>
      <c r="G442" s="5">
        <v>1440</v>
      </c>
      <c r="H442" s="4" t="s">
        <v>97</v>
      </c>
    </row>
    <row r="443" spans="1:8" ht="25" x14ac:dyDescent="0.35">
      <c r="A443" s="2" t="s">
        <v>66</v>
      </c>
      <c r="B443" s="2" t="s">
        <v>140</v>
      </c>
      <c r="C443" s="2" t="s">
        <v>147</v>
      </c>
      <c r="D443" s="2" t="s">
        <v>208</v>
      </c>
      <c r="E443" s="2" t="s">
        <v>205</v>
      </c>
      <c r="F443" s="6">
        <v>11.33</v>
      </c>
      <c r="G443" s="6">
        <v>1440</v>
      </c>
      <c r="H443" s="2" t="s">
        <v>97</v>
      </c>
    </row>
    <row r="444" spans="1:8" ht="25" x14ac:dyDescent="0.35">
      <c r="A444" s="4" t="s">
        <v>66</v>
      </c>
      <c r="B444" s="4" t="s">
        <v>140</v>
      </c>
      <c r="C444" s="4" t="s">
        <v>147</v>
      </c>
      <c r="D444" s="4" t="s">
        <v>208</v>
      </c>
      <c r="E444" s="4" t="s">
        <v>206</v>
      </c>
      <c r="F444" s="5">
        <v>10.67</v>
      </c>
      <c r="G444" s="5">
        <v>1440</v>
      </c>
      <c r="H444" s="4" t="s">
        <v>97</v>
      </c>
    </row>
    <row r="445" spans="1:8" ht="25" x14ac:dyDescent="0.35">
      <c r="A445" s="2" t="s">
        <v>66</v>
      </c>
      <c r="B445" s="2" t="s">
        <v>140</v>
      </c>
      <c r="C445" s="2" t="s">
        <v>147</v>
      </c>
      <c r="D445" s="2" t="s">
        <v>209</v>
      </c>
      <c r="E445" s="2" t="s">
        <v>200</v>
      </c>
      <c r="F445" s="6">
        <v>15.52</v>
      </c>
      <c r="G445" s="6">
        <v>1440</v>
      </c>
      <c r="H445" s="2" t="s">
        <v>97</v>
      </c>
    </row>
    <row r="446" spans="1:8" ht="25" x14ac:dyDescent="0.35">
      <c r="A446" s="4" t="s">
        <v>66</v>
      </c>
      <c r="B446" s="4" t="s">
        <v>140</v>
      </c>
      <c r="C446" s="4" t="s">
        <v>147</v>
      </c>
      <c r="D446" s="4" t="s">
        <v>209</v>
      </c>
      <c r="E446" s="4" t="s">
        <v>201</v>
      </c>
      <c r="F446" s="5">
        <v>16</v>
      </c>
      <c r="G446" s="5">
        <v>1440</v>
      </c>
      <c r="H446" s="4" t="s">
        <v>97</v>
      </c>
    </row>
    <row r="447" spans="1:8" ht="25" x14ac:dyDescent="0.35">
      <c r="A447" s="2" t="s">
        <v>66</v>
      </c>
      <c r="B447" s="2" t="s">
        <v>140</v>
      </c>
      <c r="C447" s="2" t="s">
        <v>147</v>
      </c>
      <c r="D447" s="2" t="s">
        <v>209</v>
      </c>
      <c r="E447" s="2" t="s">
        <v>202</v>
      </c>
      <c r="F447" s="6">
        <v>16.48</v>
      </c>
      <c r="G447" s="6">
        <v>1440</v>
      </c>
      <c r="H447" s="2" t="s">
        <v>97</v>
      </c>
    </row>
    <row r="448" spans="1:8" ht="25" x14ac:dyDescent="0.35">
      <c r="A448" s="4" t="s">
        <v>66</v>
      </c>
      <c r="B448" s="4" t="s">
        <v>140</v>
      </c>
      <c r="C448" s="4" t="s">
        <v>147</v>
      </c>
      <c r="D448" s="4" t="s">
        <v>209</v>
      </c>
      <c r="E448" s="4" t="s">
        <v>203</v>
      </c>
      <c r="F448" s="5">
        <v>15.52</v>
      </c>
      <c r="G448" s="5">
        <v>1440</v>
      </c>
      <c r="H448" s="4" t="s">
        <v>97</v>
      </c>
    </row>
    <row r="449" spans="1:8" ht="25" x14ac:dyDescent="0.35">
      <c r="A449" s="2" t="s">
        <v>66</v>
      </c>
      <c r="B449" s="2" t="s">
        <v>140</v>
      </c>
      <c r="C449" s="2" t="s">
        <v>147</v>
      </c>
      <c r="D449" s="2" t="s">
        <v>209</v>
      </c>
      <c r="E449" s="2" t="s">
        <v>204</v>
      </c>
      <c r="F449" s="6">
        <v>16</v>
      </c>
      <c r="G449" s="6">
        <v>1440</v>
      </c>
      <c r="H449" s="2" t="s">
        <v>97</v>
      </c>
    </row>
    <row r="450" spans="1:8" ht="25" x14ac:dyDescent="0.35">
      <c r="A450" s="4" t="s">
        <v>66</v>
      </c>
      <c r="B450" s="4" t="s">
        <v>140</v>
      </c>
      <c r="C450" s="4" t="s">
        <v>147</v>
      </c>
      <c r="D450" s="4" t="s">
        <v>209</v>
      </c>
      <c r="E450" s="4" t="s">
        <v>205</v>
      </c>
      <c r="F450" s="5">
        <v>16.48</v>
      </c>
      <c r="G450" s="5">
        <v>1440</v>
      </c>
      <c r="H450" s="4" t="s">
        <v>97</v>
      </c>
    </row>
    <row r="451" spans="1:8" ht="25" x14ac:dyDescent="0.35">
      <c r="A451" s="2" t="s">
        <v>66</v>
      </c>
      <c r="B451" s="2" t="s">
        <v>140</v>
      </c>
      <c r="C451" s="2" t="s">
        <v>147</v>
      </c>
      <c r="D451" s="2" t="s">
        <v>209</v>
      </c>
      <c r="E451" s="2" t="s">
        <v>206</v>
      </c>
      <c r="F451" s="6">
        <v>15.52</v>
      </c>
      <c r="G451" s="6">
        <v>1440</v>
      </c>
      <c r="H451" s="2" t="s">
        <v>97</v>
      </c>
    </row>
    <row r="452" spans="1:8" ht="25" x14ac:dyDescent="0.35">
      <c r="A452" s="4" t="s">
        <v>66</v>
      </c>
      <c r="B452" s="4" t="s">
        <v>140</v>
      </c>
      <c r="C452" s="4" t="s">
        <v>147</v>
      </c>
      <c r="D452" s="4" t="s">
        <v>210</v>
      </c>
      <c r="E452" s="4" t="s">
        <v>200</v>
      </c>
      <c r="F452" s="5">
        <v>6.79</v>
      </c>
      <c r="G452" s="5">
        <v>1440</v>
      </c>
      <c r="H452" s="4" t="s">
        <v>97</v>
      </c>
    </row>
    <row r="453" spans="1:8" ht="25" x14ac:dyDescent="0.35">
      <c r="A453" s="2" t="s">
        <v>66</v>
      </c>
      <c r="B453" s="2" t="s">
        <v>140</v>
      </c>
      <c r="C453" s="2" t="s">
        <v>147</v>
      </c>
      <c r="D453" s="2" t="s">
        <v>210</v>
      </c>
      <c r="E453" s="2" t="s">
        <v>201</v>
      </c>
      <c r="F453" s="6">
        <v>7</v>
      </c>
      <c r="G453" s="6">
        <v>1440</v>
      </c>
      <c r="H453" s="2" t="s">
        <v>97</v>
      </c>
    </row>
    <row r="454" spans="1:8" ht="25" x14ac:dyDescent="0.35">
      <c r="A454" s="4" t="s">
        <v>66</v>
      </c>
      <c r="B454" s="4" t="s">
        <v>140</v>
      </c>
      <c r="C454" s="4" t="s">
        <v>147</v>
      </c>
      <c r="D454" s="4" t="s">
        <v>210</v>
      </c>
      <c r="E454" s="4" t="s">
        <v>202</v>
      </c>
      <c r="F454" s="5">
        <v>7.21</v>
      </c>
      <c r="G454" s="5">
        <v>1440</v>
      </c>
      <c r="H454" s="4" t="s">
        <v>97</v>
      </c>
    </row>
    <row r="455" spans="1:8" ht="25" x14ac:dyDescent="0.35">
      <c r="A455" s="2" t="s">
        <v>66</v>
      </c>
      <c r="B455" s="2" t="s">
        <v>140</v>
      </c>
      <c r="C455" s="2" t="s">
        <v>147</v>
      </c>
      <c r="D455" s="2" t="s">
        <v>210</v>
      </c>
      <c r="E455" s="2" t="s">
        <v>203</v>
      </c>
      <c r="F455" s="6">
        <v>6.79</v>
      </c>
      <c r="G455" s="6">
        <v>1440</v>
      </c>
      <c r="H455" s="2" t="s">
        <v>97</v>
      </c>
    </row>
    <row r="456" spans="1:8" ht="25" x14ac:dyDescent="0.35">
      <c r="A456" s="4" t="s">
        <v>66</v>
      </c>
      <c r="B456" s="4" t="s">
        <v>140</v>
      </c>
      <c r="C456" s="4" t="s">
        <v>147</v>
      </c>
      <c r="D456" s="4" t="s">
        <v>210</v>
      </c>
      <c r="E456" s="4" t="s">
        <v>204</v>
      </c>
      <c r="F456" s="5">
        <v>7</v>
      </c>
      <c r="G456" s="5">
        <v>1440</v>
      </c>
      <c r="H456" s="4" t="s">
        <v>97</v>
      </c>
    </row>
    <row r="457" spans="1:8" ht="25" x14ac:dyDescent="0.35">
      <c r="A457" s="2" t="s">
        <v>66</v>
      </c>
      <c r="B457" s="2" t="s">
        <v>140</v>
      </c>
      <c r="C457" s="2" t="s">
        <v>147</v>
      </c>
      <c r="D457" s="2" t="s">
        <v>210</v>
      </c>
      <c r="E457" s="2" t="s">
        <v>205</v>
      </c>
      <c r="F457" s="6">
        <v>7.21</v>
      </c>
      <c r="G457" s="6">
        <v>1440</v>
      </c>
      <c r="H457" s="2" t="s">
        <v>97</v>
      </c>
    </row>
    <row r="458" spans="1:8" ht="25" x14ac:dyDescent="0.35">
      <c r="A458" s="4" t="s">
        <v>66</v>
      </c>
      <c r="B458" s="4" t="s">
        <v>140</v>
      </c>
      <c r="C458" s="4" t="s">
        <v>147</v>
      </c>
      <c r="D458" s="4" t="s">
        <v>210</v>
      </c>
      <c r="E458" s="4" t="s">
        <v>206</v>
      </c>
      <c r="F458" s="5">
        <v>6.79</v>
      </c>
      <c r="G458" s="5">
        <v>1440</v>
      </c>
      <c r="H458" s="4" t="s">
        <v>97</v>
      </c>
    </row>
    <row r="459" spans="1:8" ht="25" x14ac:dyDescent="0.35">
      <c r="A459" s="2" t="s">
        <v>66</v>
      </c>
      <c r="B459" s="2" t="s">
        <v>140</v>
      </c>
      <c r="C459" s="2" t="s">
        <v>147</v>
      </c>
      <c r="D459" s="2" t="s">
        <v>211</v>
      </c>
      <c r="E459" s="2" t="s">
        <v>200</v>
      </c>
      <c r="F459" s="6">
        <v>4.8499999999999996</v>
      </c>
      <c r="G459" s="6">
        <v>1440</v>
      </c>
      <c r="H459" s="2" t="s">
        <v>97</v>
      </c>
    </row>
    <row r="460" spans="1:8" ht="25" x14ac:dyDescent="0.35">
      <c r="A460" s="4" t="s">
        <v>66</v>
      </c>
      <c r="B460" s="4" t="s">
        <v>140</v>
      </c>
      <c r="C460" s="4" t="s">
        <v>147</v>
      </c>
      <c r="D460" s="4" t="s">
        <v>211</v>
      </c>
      <c r="E460" s="4" t="s">
        <v>201</v>
      </c>
      <c r="F460" s="5">
        <v>5</v>
      </c>
      <c r="G460" s="5">
        <v>1440</v>
      </c>
      <c r="H460" s="4" t="s">
        <v>97</v>
      </c>
    </row>
    <row r="461" spans="1:8" ht="25" x14ac:dyDescent="0.35">
      <c r="A461" s="2" t="s">
        <v>66</v>
      </c>
      <c r="B461" s="2" t="s">
        <v>140</v>
      </c>
      <c r="C461" s="2" t="s">
        <v>147</v>
      </c>
      <c r="D461" s="2" t="s">
        <v>211</v>
      </c>
      <c r="E461" s="2" t="s">
        <v>202</v>
      </c>
      <c r="F461" s="6">
        <v>5.15</v>
      </c>
      <c r="G461" s="6">
        <v>1440</v>
      </c>
      <c r="H461" s="2" t="s">
        <v>97</v>
      </c>
    </row>
    <row r="462" spans="1:8" ht="25" x14ac:dyDescent="0.35">
      <c r="A462" s="4" t="s">
        <v>66</v>
      </c>
      <c r="B462" s="4" t="s">
        <v>140</v>
      </c>
      <c r="C462" s="4" t="s">
        <v>147</v>
      </c>
      <c r="D462" s="4" t="s">
        <v>211</v>
      </c>
      <c r="E462" s="4" t="s">
        <v>203</v>
      </c>
      <c r="F462" s="5">
        <v>4.8499999999999996</v>
      </c>
      <c r="G462" s="5">
        <v>1440</v>
      </c>
      <c r="H462" s="4" t="s">
        <v>97</v>
      </c>
    </row>
    <row r="463" spans="1:8" ht="25" x14ac:dyDescent="0.35">
      <c r="A463" s="2" t="s">
        <v>66</v>
      </c>
      <c r="B463" s="2" t="s">
        <v>140</v>
      </c>
      <c r="C463" s="2" t="s">
        <v>147</v>
      </c>
      <c r="D463" s="2" t="s">
        <v>211</v>
      </c>
      <c r="E463" s="2" t="s">
        <v>204</v>
      </c>
      <c r="F463" s="6">
        <v>5</v>
      </c>
      <c r="G463" s="6">
        <v>1440</v>
      </c>
      <c r="H463" s="2" t="s">
        <v>97</v>
      </c>
    </row>
    <row r="464" spans="1:8" ht="25" x14ac:dyDescent="0.35">
      <c r="A464" s="4" t="s">
        <v>66</v>
      </c>
      <c r="B464" s="4" t="s">
        <v>140</v>
      </c>
      <c r="C464" s="4" t="s">
        <v>147</v>
      </c>
      <c r="D464" s="4" t="s">
        <v>211</v>
      </c>
      <c r="E464" s="4" t="s">
        <v>205</v>
      </c>
      <c r="F464" s="5">
        <v>5.15</v>
      </c>
      <c r="G464" s="5">
        <v>1440</v>
      </c>
      <c r="H464" s="4" t="s">
        <v>97</v>
      </c>
    </row>
    <row r="465" spans="1:8" ht="25" x14ac:dyDescent="0.35">
      <c r="A465" s="2" t="s">
        <v>66</v>
      </c>
      <c r="B465" s="2" t="s">
        <v>140</v>
      </c>
      <c r="C465" s="2" t="s">
        <v>147</v>
      </c>
      <c r="D465" s="2" t="s">
        <v>211</v>
      </c>
      <c r="E465" s="2" t="s">
        <v>206</v>
      </c>
      <c r="F465" s="6">
        <v>4.8499999999999996</v>
      </c>
      <c r="G465" s="6">
        <v>1440</v>
      </c>
      <c r="H465" s="2" t="s">
        <v>97</v>
      </c>
    </row>
  </sheetData>
  <autoFilter ref="A3:H465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212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213</v>
      </c>
      <c r="B4" s="4" t="s">
        <v>214</v>
      </c>
    </row>
    <row r="5" spans="1:2" x14ac:dyDescent="0.35">
      <c r="A5" s="2" t="s">
        <v>215</v>
      </c>
      <c r="B5" s="2" t="s">
        <v>216</v>
      </c>
    </row>
    <row r="6" spans="1:2" x14ac:dyDescent="0.35">
      <c r="A6" s="4" t="s">
        <v>217</v>
      </c>
      <c r="B6" s="4" t="s">
        <v>218</v>
      </c>
    </row>
    <row r="7" spans="1:2" x14ac:dyDescent="0.35">
      <c r="A7" s="2" t="s">
        <v>219</v>
      </c>
      <c r="B7" s="2" t="s">
        <v>220</v>
      </c>
    </row>
    <row r="8" spans="1:2" x14ac:dyDescent="0.35">
      <c r="A8" s="4" t="s">
        <v>221</v>
      </c>
      <c r="B8" s="4" t="s">
        <v>222</v>
      </c>
    </row>
    <row r="9" spans="1:2" x14ac:dyDescent="0.35">
      <c r="A9" s="2" t="s">
        <v>223</v>
      </c>
      <c r="B9" s="2" t="s">
        <v>224</v>
      </c>
    </row>
    <row r="10" spans="1:2" x14ac:dyDescent="0.35">
      <c r="A10" s="4" t="s">
        <v>225</v>
      </c>
      <c r="B10" s="4" t="s">
        <v>226</v>
      </c>
    </row>
    <row r="11" spans="1:2" x14ac:dyDescent="0.35">
      <c r="A11" s="2" t="s">
        <v>227</v>
      </c>
      <c r="B11" s="2" t="s">
        <v>228</v>
      </c>
    </row>
    <row r="12" spans="1:2" x14ac:dyDescent="0.35">
      <c r="A12" s="4" t="s">
        <v>229</v>
      </c>
      <c r="B12" s="4" t="s">
        <v>230</v>
      </c>
    </row>
    <row r="13" spans="1:2" x14ac:dyDescent="0.35">
      <c r="A13" s="2" t="s">
        <v>231</v>
      </c>
      <c r="B13" s="2" t="s">
        <v>232</v>
      </c>
    </row>
    <row r="14" spans="1:2" x14ac:dyDescent="0.35">
      <c r="A14" s="4" t="s">
        <v>233</v>
      </c>
      <c r="B14" s="4" t="s">
        <v>234</v>
      </c>
    </row>
    <row r="15" spans="1:2" x14ac:dyDescent="0.35">
      <c r="A15" s="2" t="s">
        <v>235</v>
      </c>
      <c r="B15" s="2" t="s">
        <v>236</v>
      </c>
    </row>
    <row r="16" spans="1:2" x14ac:dyDescent="0.35">
      <c r="A16" s="4" t="s">
        <v>237</v>
      </c>
      <c r="B16" s="4" t="s">
        <v>238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2026-10-27T13:22:18Z</dcterms:created>
  <dcterms:modified xsi:type="dcterms:W3CDTF">2026-10-27T13:22:22Z</dcterms:modified>
</cp:coreProperties>
</file>