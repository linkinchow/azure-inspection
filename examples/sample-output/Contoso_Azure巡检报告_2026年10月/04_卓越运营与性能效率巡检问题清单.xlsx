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wez\AppData\Local\Temp\azinspect-sample-do642wo4\2026-09\reports\"/>
    </mc:Choice>
  </mc:AlternateContent>
  <xr:revisionPtr revIDLastSave="0" documentId="13_ncr:1_{36FC74F6-25B3-4176-82D0-916BD6C1BC19}" xr6:coauthVersionLast="47" xr6:coauthVersionMax="47" xr10:uidLastSave="{00000000-0000-0000-0000-000000000000}"/>
  <bookViews>
    <workbookView xWindow="-110" yWindow="-110" windowWidth="22780" windowHeight="14540" xr2:uid="{00000000-000D-0000-FFFF-FFFF00000000}"/>
  </bookViews>
  <sheets>
    <sheet name="概览" sheetId="1" r:id="rId1"/>
    <sheet name="问题清单" sheetId="2" r:id="rId2"/>
    <sheet name="检查覆盖" sheetId="3" r:id="rId3"/>
    <sheet name="上月问题处理情况" sheetId="4" r:id="rId4"/>
    <sheet name="推荐告警（AMBA）" sheetId="5" r:id="rId5"/>
  </sheets>
  <definedNames>
    <definedName name="_xlnm._FilterDatabase" localSheetId="3" hidden="1">上月问题处理情况!$A$3:$G$4</definedName>
    <definedName name="_xlnm._FilterDatabase" localSheetId="4" hidden="1">'推荐告警（AMBA）'!$A$3:$F$24</definedName>
    <definedName name="_xlnm._FilterDatabase" localSheetId="2" hidden="1">检查覆盖!$A$3:$F$25</definedName>
    <definedName name="_xlnm._FilterDatabase" localSheetId="0" hidden="1">概览!$A$3:$H$24</definedName>
    <definedName name="_xlnm._FilterDatabase" localSheetId="1" hidden="1">问题清单!$A$3:$W$14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1" l="1"/>
  <c r="E24" i="1"/>
  <c r="D24" i="1"/>
  <c r="G23" i="1"/>
  <c r="G22" i="1"/>
  <c r="G21" i="1"/>
  <c r="G20" i="1"/>
  <c r="G19" i="1"/>
  <c r="G18" i="1"/>
  <c r="G17" i="1"/>
  <c r="G16" i="1"/>
  <c r="G15" i="1"/>
  <c r="G14" i="1"/>
  <c r="G13" i="1"/>
  <c r="G12" i="1"/>
  <c r="G11" i="1"/>
  <c r="G10" i="1"/>
  <c r="G9" i="1"/>
  <c r="G8" i="1"/>
  <c r="G7" i="1"/>
  <c r="G6" i="1"/>
  <c r="G5" i="1"/>
  <c r="G4" i="1"/>
  <c r="G24" i="1" l="1"/>
</calcChain>
</file>

<file path=xl/sharedStrings.xml><?xml version="1.0" encoding="utf-8"?>
<sst xmlns="http://schemas.openxmlformats.org/spreadsheetml/2006/main" count="451" uniqueCount="246">
  <si>
    <t>示例客户 卓越运营与性能效率巡检问题清单（2026年10月26日只读读取）</t>
  </si>
  <si>
    <t>高＝故障可能无人发现，或用户已经受到影响；中＝监控覆盖缺口或接近容量上限；低＝建议改进。性能判断看两点：平均负载是否持续偏高，以及每日最高值打满的天数。环境（生产/测试）按名称或标签推断。高、中、低为问题条数（问题清单行数），涉及资源数按资源去重。</t>
  </si>
  <si>
    <t>支柱</t>
  </si>
  <si>
    <t>检查项</t>
  </si>
  <si>
    <t>编号</t>
  </si>
  <si>
    <t>高</t>
  </si>
  <si>
    <t>中</t>
  </si>
  <si>
    <t>低</t>
  </si>
  <si>
    <t>合计</t>
  </si>
  <si>
    <t>涉及资源数</t>
  </si>
  <si>
    <t>卓越运营</t>
  </si>
  <si>
    <t>监控覆盖</t>
  </si>
  <si>
    <t>O1</t>
  </si>
  <si>
    <t>1 个集群</t>
  </si>
  <si>
    <t>卓越运营：各检查项问题数量</t>
  </si>
  <si>
    <t>告警</t>
  </si>
  <si>
    <t>O2</t>
  </si>
  <si>
    <t>2 个 MySQL、2 个 PostgreSQL、1 个 Redis</t>
  </si>
  <si>
    <t>日志保留与诊断</t>
  </si>
  <si>
    <t>O3</t>
  </si>
  <si>
    <t>2 个日志工作区</t>
  </si>
  <si>
    <t>升级与维护</t>
  </si>
  <si>
    <t>O4</t>
  </si>
  <si>
    <t>—</t>
  </si>
  <si>
    <t>配置一致性与 IaC</t>
  </si>
  <si>
    <t>O5</t>
  </si>
  <si>
    <t>失败或卡住的操作</t>
  </si>
  <si>
    <t>O6</t>
  </si>
  <si>
    <t>标签与负责人</t>
  </si>
  <si>
    <t>O7</t>
  </si>
  <si>
    <t>1 个资源</t>
  </si>
  <si>
    <t>治理（策略、资源锁）</t>
  </si>
  <si>
    <t>O8</t>
  </si>
  <si>
    <t>预算与费用告警</t>
  </si>
  <si>
    <t>O9</t>
  </si>
  <si>
    <t>Advisor 运营建议</t>
  </si>
  <si>
    <t>O10</t>
  </si>
  <si>
    <t>性能效率</t>
  </si>
  <si>
    <t>计算负载</t>
  </si>
  <si>
    <t>P1</t>
  </si>
  <si>
    <t>1 台虚拟机</t>
  </si>
  <si>
    <t>AKS 节点负载与调度</t>
  </si>
  <si>
    <t>P2</t>
  </si>
  <si>
    <t>出站 SNAT</t>
  </si>
  <si>
    <t>P3</t>
  </si>
  <si>
    <t>磁盘与 IO</t>
  </si>
  <si>
    <t>P4</t>
  </si>
  <si>
    <t>数据库与缓存</t>
  </si>
  <si>
    <t>P5</t>
  </si>
  <si>
    <t>1 个 Redis</t>
  </si>
  <si>
    <t>AI 服务限流与配额</t>
  </si>
  <si>
    <t>P6</t>
  </si>
  <si>
    <t>1 个 AI 账户</t>
  </si>
  <si>
    <t>存储性能</t>
  </si>
  <si>
    <t>P7</t>
  </si>
  <si>
    <t>部署位置与跨区域流量</t>
  </si>
  <si>
    <t>P8</t>
  </si>
  <si>
    <t>入口与负载均衡健康</t>
  </si>
  <si>
    <t>P9</t>
  </si>
  <si>
    <t>1 个应用网关</t>
  </si>
  <si>
    <t>性能效率：各检查项问题数量</t>
  </si>
  <si>
    <t>Advisor 性能建议</t>
  </si>
  <si>
    <t>P10</t>
  </si>
  <si>
    <t>卓越运营与性能效率问题清单</t>
  </si>
  <si>
    <t>每行一个问题；同类问题已按订阅或资源合并，涉及的资源见“涉及资源”。负责人、客户决定、处理状态和完成日期由客户填写。</t>
  </si>
  <si>
    <t>严重程度</t>
  </si>
  <si>
    <t>订阅</t>
  </si>
  <si>
    <t>资源组</t>
  </si>
  <si>
    <t>资源</t>
  </si>
  <si>
    <t>资源类型</t>
  </si>
  <si>
    <t>环境（推断）</t>
  </si>
  <si>
    <t>发现</t>
  </si>
  <si>
    <t>建议</t>
  </si>
  <si>
    <t>验收标准</t>
  </si>
  <si>
    <t>需要客户确认</t>
  </si>
  <si>
    <t>与同类资源的差异</t>
  </si>
  <si>
    <t>根本原因</t>
  </si>
  <si>
    <t>对齐标准的做法</t>
  </si>
  <si>
    <t>涉及资源</t>
  </si>
  <si>
    <t>与上月相比</t>
  </si>
  <si>
    <t>负责人</t>
  </si>
  <si>
    <t>客户决定</t>
  </si>
  <si>
    <t>处理状态</t>
  </si>
  <si>
    <t>完成日期</t>
  </si>
  <si>
    <t>O1-7d1b35</t>
  </si>
  <si>
    <t>shop-prod</t>
  </si>
  <si>
    <t>shop-rg</t>
  </si>
  <si>
    <t>shop-aks</t>
  </si>
  <si>
    <t>Microsoft.ContainerService/managedClusters</t>
  </si>
  <si>
    <t>生产（推断：订阅名称）</t>
  </si>
  <si>
    <t>生产集群 shop-aks 在 Azure 侧没有任何监控和告警：未启用 Container Insights 和托管 Prometheus，也没有告警规则。</t>
  </si>
  <si>
    <t>启用 Container Insights 并配置基础告警</t>
  </si>
  <si>
    <t>生产集群、虚拟机和关键资源都接入 Azure Monitor 或已确认的其他监控平台</t>
  </si>
  <si>
    <t>仍未处理</t>
  </si>
  <si>
    <t>P1-60e2de</t>
  </si>
  <si>
    <t>shop-batch-01</t>
  </si>
  <si>
    <t>Microsoft.Compute/virtualMachines</t>
  </si>
  <si>
    <t>虚拟机 shop-batch-01（Standard_D8s_v5）过去 30 天 CPU 平均 86%，有 21 天日最高 CPU 超过 95%。</t>
  </si>
  <si>
    <t>确认是否为预期负载；是的话升到 16 vCPU 或拆分任务</t>
  </si>
  <si>
    <t>30 天平均负载低于 80%，每日最高值打满的天数明显减少</t>
  </si>
  <si>
    <t>O2-d2ae2f</t>
  </si>
  <si>
    <t>多个订阅（3 个）</t>
  </si>
  <si>
    <t>4 个数据库/缓存实例</t>
  </si>
  <si>
    <t>4 个生产数据库和缓存没有任何 Azure 告警规则：pay-mysql-prod、pay-pg-prod、data-pg-prod、shop-redis-prod。</t>
  </si>
  <si>
    <t>配置 CPU、内存、存储、连接数和可用性告警</t>
  </si>
  <si>
    <t>生产资源有 CPU、内存、存储、连接数和可用性告警，告警发送到值班组且有人处理</t>
  </si>
  <si>
    <t>pay-mysql-prod——网络访问：公网开关=Enabled，私有终结点 0 个，公网防火墙规则 1 条，含全网放行规则 AllowAll_2026-3-14（同类标准：仅私有终结点，无公网防火墙规则（最好再关闭公网开关））；强制 TLS（require_secure_transport）：OFF（同类标准：ON）；高可用：Disabled（同类标准：ZoneRedundant（跨可用区））；备份保留天数：7 天（同类标准：14 天（按标准方式创建的生产库做法））
支付：2 个生产数据库/缓存——诊断日志导出：2/2 个未导出（同类标准：慢查询/审计等日志导出到 Log Analytics）
数据平台：1 个生产数据库/缓存——诊断日志导出：1/1 个未导出（同类标准：慢查询/审计等日志导出到 Log Analytics）</t>
  </si>
  <si>
    <t>pay-mysql-prod：Azure 门户“创建 MySQL 灵活服务器”向导（部署 MySqlFlexibleServer_2026-3-14T02.11.05，2026-03-14），业务线：支付
支付：2 个生产数据库/缓存：
数据平台：1 个生产数据库/缓存：</t>
  </si>
  <si>
    <t>pay-mysql-prod：为服务器创建私有终结点（或复用已有终结点），把应用连接串切到私有地址后删除全部公网防火墙规则并关闭公网访问（原地修改（需维护窗口或应用配合））；把 require_secure_transport 改为 ON（动态参数，无需重启）（原地修改（需维护窗口或应用配合））；把高可用改为跨可用区（先关闭同可用区 HA 再按跨可用区重新开启，确认区域支持）（原地修改（需维护窗口或应用配合））；把备份保留期调到 14 天（原地修改）
支付：2 个生产数据库/缓存：为同类资源补诊断设置（MySQL 慢查询/审计、PostgreSQL 日志、Redis 连接/审计），并配置 CPU、内存、存储、连接数、可用性告警（原地修改）
数据平台：1 个生产数据库/缓存：为同类资源补诊断设置（MySQL 慢查询/审计、PostgreSQL 日志、Redis 连接/审计），并配置 CPU、内存、存储、连接数、可用性告警（原地修改）</t>
  </si>
  <si>
    <t>pay-mysql-prod；pay-pg-prod；data-pg-prod；shop-redis-prod</t>
  </si>
  <si>
    <t>O8-f47818</t>
  </si>
  <si>
    <t>多个订阅（5 个）</t>
  </si>
  <si>
    <t>关键生产资源</t>
  </si>
  <si>
    <t>没有任何资源锁，关键生产资源（数据库、存储账户）可能被误删。</t>
  </si>
  <si>
    <t>为关键数据资源加删除锁</t>
  </si>
  <si>
    <t>关键数据资源有删除锁；订阅按管理组组织并有基础策略</t>
  </si>
  <si>
    <t>P5-8cee40</t>
  </si>
  <si>
    <t>shop-redis-prod</t>
  </si>
  <si>
    <t>Microsoft.Cache/Redis</t>
  </si>
  <si>
    <t>生产（推断：资源名称）</t>
  </si>
  <si>
    <t>Redis shop-redis-prod 内存使用从首周平均 12% 涨到末周 41%，每天约增加 1 个百分点，约 6 周后达到 80%。</t>
  </si>
  <si>
    <t>确认增长原因（新业务或未设过期时间的键），必要时提前扩容</t>
  </si>
  <si>
    <t>数据库和缓存的 CPU、内存、连接数保持在上限的 80% 以内并有余量</t>
  </si>
  <si>
    <t>P9-5d7373</t>
  </si>
  <si>
    <t>shop-appgw</t>
  </si>
  <si>
    <t>Microsoft.Network/applicationGateways</t>
  </si>
  <si>
    <t>应用网关 shop-appgw 30 天响应中 5xx 占 1.4%，有 6 天超过 2%。</t>
  </si>
  <si>
    <t>检查后端健康探测和超时设置</t>
  </si>
  <si>
    <t>入口后端健康，5xx 比例低于 1%；不用的入口已删除</t>
  </si>
  <si>
    <t>新增问题</t>
  </si>
  <si>
    <t>O2-14ab6d</t>
  </si>
  <si>
    <t>shop-mysql-prod</t>
  </si>
  <si>
    <t>Microsoft.DBforMySQL/flexibleServers</t>
  </si>
  <si>
    <t>1 个生产MySQL已有部分指标告警，但缺少 AMBA 推荐的核心告警：shop-mysql-prod 缺少 memory_percent、storage_percent、active_connections</t>
  </si>
  <si>
    <t>按 Excel“推荐告警（AMBA）”补齐核心告警，阈值可先用推荐值</t>
  </si>
  <si>
    <t>shop-mysql-prod——高可用：SameZone（同类标准：ZoneRedundant（跨可用区））
电商：1 个生产数据库/缓存——诊断日志导出：1/1 个未导出（同类标准：慢查询/审计等日志导出到 Log Analytics）</t>
  </si>
  <si>
    <t>shop-mysql-prod：Terraform（带 managed_by=terraform 标签），业务线：电商
电商：1 个生产数据库/缓存：</t>
  </si>
  <si>
    <t>shop-mysql-prod：把高可用改为跨可用区（先关闭同可用区 HA 再按跨可用区重新开启，确认区域支持）（原地修改（需维护窗口或应用配合））
电商：1 个生产数据库/缓存：为同类资源补诊断设置（MySQL 慢查询/审计、PostgreSQL 日志、Redis 连接/审计），并配置 CPU、内存、存储、连接数、可用性告警（原地修改）</t>
  </si>
  <si>
    <t>O3-a0f138</t>
  </si>
  <si>
    <t>多个订阅（2 个）</t>
  </si>
  <si>
    <t>2 个日志工作区都只保留 30 天。</t>
  </si>
  <si>
    <t>按审计和排障需要延长保留期，或把需要长期保存的日志归档到存储</t>
  </si>
  <si>
    <t>日志保留期满足审计和排障要求，关键资源已开启诊断日志</t>
  </si>
  <si>
    <t>shop-logs；data-logs</t>
  </si>
  <si>
    <t>O7-7ccdfa</t>
  </si>
  <si>
    <t>全部订阅</t>
  </si>
  <si>
    <t>多个环境（含生产）</t>
  </si>
  <si>
    <t>78% 的资源没有负责人标签。</t>
  </si>
  <si>
    <t>在 IaC 模块中统一加 owner、cost-center 标签</t>
  </si>
  <si>
    <t>生产资源有环境、负责人和成本中心标签</t>
  </si>
  <si>
    <t>P4-8e1086</t>
  </si>
  <si>
    <t>data-prod</t>
  </si>
  <si>
    <t>data-rg</t>
  </si>
  <si>
    <t>data-etl-01</t>
  </si>
  <si>
    <t>虚拟机 data-etl-01 的数据盘带宽在 30 天里有 9 天日最高达到 100%（平均 21%）。</t>
  </si>
  <si>
    <t>确认夜间批处理窗口；必要时改用更高吞吐的磁盘</t>
  </si>
  <si>
    <t>磁盘 IOPS 和吞吐不再每天打满</t>
  </si>
  <si>
    <t>P6-49c752</t>
  </si>
  <si>
    <t>data-openai</t>
  </si>
  <si>
    <t>Microsoft.CognitiveServices/accounts</t>
  </si>
  <si>
    <t>AI 账户 data-openai 30 天有 0.8% 的请求被限流（429），集中在工作日上午。</t>
  </si>
  <si>
    <t>申请提高配额或增加部署；客户端加重试和退避</t>
  </si>
  <si>
    <t>限流（429）比例低于 1%，配额有余量</t>
  </si>
  <si>
    <t>检查覆盖情况</t>
  </si>
  <si>
    <t>读取失败或未检查的内容不视为没有问题。</t>
  </si>
  <si>
    <t>尝试</t>
  </si>
  <si>
    <t>成功</t>
  </si>
  <si>
    <t>失败或无权限</t>
  </si>
  <si>
    <t>说明</t>
  </si>
  <si>
    <t>未检查</t>
  </si>
  <si>
    <t>未启用订阅</t>
  </si>
  <si>
    <t>另有 1 个未启用订阅（old-lab）无法读取，未纳入检查</t>
  </si>
  <si>
    <t>2026-08 的问题本月的情况</t>
  </si>
  <si>
    <t>“已解决”：对应检查本月已执行，问题不再出现。“本月未检查”：对应检查本月没有成功执行，不能判断是否解决。</t>
  </si>
  <si>
    <t>上月严重程度</t>
  </si>
  <si>
    <t>上月发现</t>
  </si>
  <si>
    <t>本月情况</t>
  </si>
  <si>
    <t>O9-6b5029</t>
  </si>
  <si>
    <t>多个订阅（4 个）</t>
  </si>
  <si>
    <t>4 个订阅</t>
  </si>
  <si>
    <t>4 个有费用的订阅没有预算。</t>
  </si>
  <si>
    <t>已解决</t>
  </si>
  <si>
    <t>各类资源建议配置的核心告警（Azure Monitor Baseline Alerts）</t>
  </si>
  <si>
    <t>阈值和时间窗口取自微软 AMBA 推荐值，可先按此配置，运行一段时间后按实际情况调整。“说明”为 AMBA 原文。</t>
  </si>
  <si>
    <t>指标</t>
  </si>
  <si>
    <t>条件</t>
  </si>
  <si>
    <t>时间窗口</t>
  </si>
  <si>
    <t>AMBA 严重性（0 最高）</t>
  </si>
  <si>
    <t>集群</t>
  </si>
  <si>
    <t>node_cpu_usage_percentage</t>
  </si>
  <si>
    <t>Aggregated average CPU utilization measured in percentage across the cluster</t>
  </si>
  <si>
    <t>Average &gt; 95.0</t>
  </si>
  <si>
    <t>PT5M</t>
  </si>
  <si>
    <t>node_memory_working_set_percentage</t>
  </si>
  <si>
    <t>Container working set memory used in percent</t>
  </si>
  <si>
    <t>Average &gt; 100.0</t>
  </si>
  <si>
    <t>node_disk_usage_percentage</t>
  </si>
  <si>
    <t>Disk space used in percent by device</t>
  </si>
  <si>
    <t>Average &gt; 80.0</t>
  </si>
  <si>
    <t>kube_node_status_condition</t>
  </si>
  <si>
    <t>Statuses for various node conditions</t>
  </si>
  <si>
    <t>Total &gt; 0.0</t>
  </si>
  <si>
    <t>kube_pod_status_ready</t>
  </si>
  <si>
    <t>Number of pods in Ready state</t>
  </si>
  <si>
    <t>Average &lt; 1.0</t>
  </si>
  <si>
    <t>MySQL</t>
  </si>
  <si>
    <t>cpu_percent</t>
  </si>
  <si>
    <t>Host CPU Percent</t>
  </si>
  <si>
    <t>PT6H</t>
  </si>
  <si>
    <t>memory_percent</t>
  </si>
  <si>
    <t>Host Memory Percent</t>
  </si>
  <si>
    <t>storage_percent</t>
  </si>
  <si>
    <t>Storage Percent</t>
  </si>
  <si>
    <t>Maximum &gt; 90.0</t>
  </si>
  <si>
    <t>io_consumption_percent</t>
  </si>
  <si>
    <t>Storage I/O consumption percent</t>
  </si>
  <si>
    <t>active_connections</t>
  </si>
  <si>
    <t>Active Connections</t>
  </si>
  <si>
    <t>Maximum &gt; 5000.0</t>
  </si>
  <si>
    <t>replication_lag</t>
  </si>
  <si>
    <t>Replication lag in seconds</t>
  </si>
  <si>
    <t>Maximum &gt; 6000.0</t>
  </si>
  <si>
    <t>PostgreSQL</t>
  </si>
  <si>
    <t>CPU percent</t>
  </si>
  <si>
    <t>Average &gt; 90.0</t>
  </si>
  <si>
    <t>Memory percent</t>
  </si>
  <si>
    <t>Storage percent</t>
  </si>
  <si>
    <t>Average &gt; 120.0</t>
  </si>
  <si>
    <t>is_db_alive</t>
  </si>
  <si>
    <t>Indicates if the database is up or not</t>
  </si>
  <si>
    <t>Maximum &lt; 1.0</t>
  </si>
  <si>
    <t>PT15M</t>
  </si>
  <si>
    <t>disk_iops_consumed_percentage</t>
  </si>
  <si>
    <t>Percentage of disk I/Os consumed per minute</t>
  </si>
  <si>
    <t>Redis</t>
  </si>
  <si>
    <t>serverLoad</t>
  </si>
  <si>
    <t>The percentage of cycles in which the Redis server is busy processing and not waiting idle for messages. For more details, see https://aka.ms/redis/metrics.</t>
  </si>
  <si>
    <t>Average &gt; 85.0</t>
  </si>
  <si>
    <t>usedmemorypercentage</t>
  </si>
  <si>
    <t>The percentage of cache memory used for key/value pairs. For more details, see https://aka.ms/redis/metrics.</t>
  </si>
  <si>
    <t>connectedclients</t>
  </si>
  <si>
    <t>The number of client connections to the cache. For more details, see https://aka.ms/redis/metrics.</t>
  </si>
  <si>
    <t>Maximum &gt; 850.0</t>
  </si>
  <si>
    <t>errors</t>
  </si>
  <si>
    <t>The number errors that occured on the cache. For more details, see https://aka.ms/redis/metrics.</t>
  </si>
  <si>
    <t>Maximum &gt;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</si>
</sst>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4"/>
      <color rgb="FFFFFFFF"/>
      <name val="Arial"/>
    </font>
    <font>
      <b/>
      <sz val="10"/>
      <name val="Arial"/>
    </font>
  </fonts>
  <fills count="7">
    <fill>
      <patternFill patternType="none"/>
    </fill>
    <fill>
      <patternFill patternType="gray125"/>
    </fill>
    <fill>
      <patternFill patternType="solid">
        <fgColor rgb="FF17365D"/>
      </patternFill>
    </fill>
    <fill>
      <patternFill patternType="solid">
        <fgColor rgb="FFDCE6F1"/>
      </patternFill>
    </fill>
    <fill>
      <patternFill patternType="solid">
        <fgColor rgb="FFF8CBAD"/>
      </patternFill>
    </fill>
    <fill>
      <patternFill patternType="solid">
        <fgColor rgb="FFFFE699"/>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3"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top" wrapText="1"/>
    </xf>
    <xf numFmtId="0" fontId="1" fillId="0" borderId="0" xfId="0" applyFont="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v>高</c:v>
          </c:tx>
          <c:spPr>
            <a:solidFill>
              <a:srgbClr val="184F95"/>
            </a:solidFill>
            <a:ln>
              <a:solidFill>
                <a:srgbClr val="FCFCFB"/>
              </a:solidFill>
              <a:prstDash val="solid"/>
            </a:ln>
          </c:spPr>
          <c:invertIfNegative val="1"/>
          <c:cat>
            <c:strRef>
              <c:f>概览!$B$4:$B$13</c:f>
              <c:strCache>
                <c:ptCount val="10"/>
                <c:pt idx="0">
                  <c:v>监控覆盖</c:v>
                </c:pt>
                <c:pt idx="1">
                  <c:v>告警</c:v>
                </c:pt>
                <c:pt idx="2">
                  <c:v>日志保留与诊断</c:v>
                </c:pt>
                <c:pt idx="3">
                  <c:v>升级与维护</c:v>
                </c:pt>
                <c:pt idx="4">
                  <c:v>配置一致性与 IaC</c:v>
                </c:pt>
                <c:pt idx="5">
                  <c:v>失败或卡住的操作</c:v>
                </c:pt>
                <c:pt idx="6">
                  <c:v>标签与负责人</c:v>
                </c:pt>
                <c:pt idx="7">
                  <c:v>治理（策略、资源锁）</c:v>
                </c:pt>
                <c:pt idx="8">
                  <c:v>预算与费用告警</c:v>
                </c:pt>
                <c:pt idx="9">
                  <c:v>Advisor 运营建议</c:v>
                </c:pt>
              </c:strCache>
            </c:strRef>
          </c:cat>
          <c:val>
            <c:numRef>
              <c:f>概览!$D$4:$D$13</c:f>
              <c:numCache>
                <c:formatCode>General</c:formatCode>
                <c:ptCount val="10"/>
                <c:pt idx="0">
                  <c:v>1</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0-EBA2-4C0D-A2DD-29AE15289303}"/>
            </c:ext>
          </c:extLst>
        </c:ser>
        <c:ser>
          <c:idx val="1"/>
          <c:order val="1"/>
          <c:tx>
            <c:v>中</c:v>
          </c:tx>
          <c:spPr>
            <a:solidFill>
              <a:srgbClr val="3987E5"/>
            </a:solidFill>
            <a:ln>
              <a:solidFill>
                <a:srgbClr val="FCFCFB"/>
              </a:solidFill>
              <a:prstDash val="solid"/>
            </a:ln>
          </c:spPr>
          <c:invertIfNegative val="1"/>
          <c:cat>
            <c:strRef>
              <c:f>概览!$B$4:$B$13</c:f>
              <c:strCache>
                <c:ptCount val="10"/>
                <c:pt idx="0">
                  <c:v>监控覆盖</c:v>
                </c:pt>
                <c:pt idx="1">
                  <c:v>告警</c:v>
                </c:pt>
                <c:pt idx="2">
                  <c:v>日志保留与诊断</c:v>
                </c:pt>
                <c:pt idx="3">
                  <c:v>升级与维护</c:v>
                </c:pt>
                <c:pt idx="4">
                  <c:v>配置一致性与 IaC</c:v>
                </c:pt>
                <c:pt idx="5">
                  <c:v>失败或卡住的操作</c:v>
                </c:pt>
                <c:pt idx="6">
                  <c:v>标签与负责人</c:v>
                </c:pt>
                <c:pt idx="7">
                  <c:v>治理（策略、资源锁）</c:v>
                </c:pt>
                <c:pt idx="8">
                  <c:v>预算与费用告警</c:v>
                </c:pt>
                <c:pt idx="9">
                  <c:v>Advisor 运营建议</c:v>
                </c:pt>
              </c:strCache>
            </c:strRef>
          </c:cat>
          <c:val>
            <c:numRef>
              <c:f>概览!$E$4:$E$13</c:f>
              <c:numCache>
                <c:formatCode>General</c:formatCode>
                <c:ptCount val="10"/>
                <c:pt idx="0">
                  <c:v>0</c:v>
                </c:pt>
                <c:pt idx="1">
                  <c:v>1</c:v>
                </c:pt>
                <c:pt idx="2">
                  <c:v>0</c:v>
                </c:pt>
                <c:pt idx="3">
                  <c:v>0</c:v>
                </c:pt>
                <c:pt idx="4">
                  <c:v>0</c:v>
                </c:pt>
                <c:pt idx="5">
                  <c:v>0</c:v>
                </c:pt>
                <c:pt idx="6">
                  <c:v>0</c:v>
                </c:pt>
                <c:pt idx="7">
                  <c:v>1</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1-EBA2-4C0D-A2DD-29AE15289303}"/>
            </c:ext>
          </c:extLst>
        </c:ser>
        <c:ser>
          <c:idx val="2"/>
          <c:order val="2"/>
          <c:tx>
            <c:v>低</c:v>
          </c:tx>
          <c:spPr>
            <a:solidFill>
              <a:srgbClr val="86B6EF"/>
            </a:solidFill>
            <a:ln>
              <a:solidFill>
                <a:srgbClr val="FCFCFB"/>
              </a:solidFill>
              <a:prstDash val="solid"/>
            </a:ln>
          </c:spPr>
          <c:invertIfNegative val="1"/>
          <c:cat>
            <c:strRef>
              <c:f>概览!$B$4:$B$13</c:f>
              <c:strCache>
                <c:ptCount val="10"/>
                <c:pt idx="0">
                  <c:v>监控覆盖</c:v>
                </c:pt>
                <c:pt idx="1">
                  <c:v>告警</c:v>
                </c:pt>
                <c:pt idx="2">
                  <c:v>日志保留与诊断</c:v>
                </c:pt>
                <c:pt idx="3">
                  <c:v>升级与维护</c:v>
                </c:pt>
                <c:pt idx="4">
                  <c:v>配置一致性与 IaC</c:v>
                </c:pt>
                <c:pt idx="5">
                  <c:v>失败或卡住的操作</c:v>
                </c:pt>
                <c:pt idx="6">
                  <c:v>标签与负责人</c:v>
                </c:pt>
                <c:pt idx="7">
                  <c:v>治理（策略、资源锁）</c:v>
                </c:pt>
                <c:pt idx="8">
                  <c:v>预算与费用告警</c:v>
                </c:pt>
                <c:pt idx="9">
                  <c:v>Advisor 运营建议</c:v>
                </c:pt>
              </c:strCache>
            </c:strRef>
          </c:cat>
          <c:val>
            <c:numRef>
              <c:f>概览!$F$4:$F$13</c:f>
              <c:numCache>
                <c:formatCode>General</c:formatCode>
                <c:ptCount val="10"/>
                <c:pt idx="0">
                  <c:v>0</c:v>
                </c:pt>
                <c:pt idx="1">
                  <c:v>1</c:v>
                </c:pt>
                <c:pt idx="2">
                  <c:v>1</c:v>
                </c:pt>
                <c:pt idx="3">
                  <c:v>0</c:v>
                </c:pt>
                <c:pt idx="4">
                  <c:v>0</c:v>
                </c:pt>
                <c:pt idx="5">
                  <c:v>0</c:v>
                </c:pt>
                <c:pt idx="6">
                  <c:v>1</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2-EBA2-4C0D-A2DD-29AE15289303}"/>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nextTo"/>
        <c:crossAx val="10"/>
        <c:crosses val="max"/>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v>高</c:v>
          </c:tx>
          <c:spPr>
            <a:solidFill>
              <a:srgbClr val="184F95"/>
            </a:solidFill>
            <a:ln>
              <a:solidFill>
                <a:srgbClr val="FCFCFB"/>
              </a:solidFill>
              <a:prstDash val="solid"/>
            </a:ln>
          </c:spPr>
          <c:invertIfNegative val="1"/>
          <c:cat>
            <c:strRef>
              <c:f>概览!$B$14:$B$23</c:f>
              <c:strCache>
                <c:ptCount val="10"/>
                <c:pt idx="0">
                  <c:v>计算负载</c:v>
                </c:pt>
                <c:pt idx="1">
                  <c:v>AKS 节点负载与调度</c:v>
                </c:pt>
                <c:pt idx="2">
                  <c:v>出站 SNAT</c:v>
                </c:pt>
                <c:pt idx="3">
                  <c:v>磁盘与 IO</c:v>
                </c:pt>
                <c:pt idx="4">
                  <c:v>数据库与缓存</c:v>
                </c:pt>
                <c:pt idx="5">
                  <c:v>AI 服务限流与配额</c:v>
                </c:pt>
                <c:pt idx="6">
                  <c:v>存储性能</c:v>
                </c:pt>
                <c:pt idx="7">
                  <c:v>部署位置与跨区域流量</c:v>
                </c:pt>
                <c:pt idx="8">
                  <c:v>入口与负载均衡健康</c:v>
                </c:pt>
                <c:pt idx="9">
                  <c:v>Advisor 性能建议</c:v>
                </c:pt>
              </c:strCache>
            </c:strRef>
          </c:cat>
          <c:val>
            <c:numRef>
              <c:f>概览!$D$14:$D$23</c:f>
              <c:numCache>
                <c:formatCode>General</c:formatCode>
                <c:ptCount val="10"/>
                <c:pt idx="0">
                  <c:v>1</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0-95BB-41F3-9B94-B5195BEFD63E}"/>
            </c:ext>
          </c:extLst>
        </c:ser>
        <c:ser>
          <c:idx val="1"/>
          <c:order val="1"/>
          <c:tx>
            <c:v>中</c:v>
          </c:tx>
          <c:spPr>
            <a:solidFill>
              <a:srgbClr val="3987E5"/>
            </a:solidFill>
            <a:ln>
              <a:solidFill>
                <a:srgbClr val="FCFCFB"/>
              </a:solidFill>
              <a:prstDash val="solid"/>
            </a:ln>
          </c:spPr>
          <c:invertIfNegative val="1"/>
          <c:cat>
            <c:strRef>
              <c:f>概览!$B$14:$B$23</c:f>
              <c:strCache>
                <c:ptCount val="10"/>
                <c:pt idx="0">
                  <c:v>计算负载</c:v>
                </c:pt>
                <c:pt idx="1">
                  <c:v>AKS 节点负载与调度</c:v>
                </c:pt>
                <c:pt idx="2">
                  <c:v>出站 SNAT</c:v>
                </c:pt>
                <c:pt idx="3">
                  <c:v>磁盘与 IO</c:v>
                </c:pt>
                <c:pt idx="4">
                  <c:v>数据库与缓存</c:v>
                </c:pt>
                <c:pt idx="5">
                  <c:v>AI 服务限流与配额</c:v>
                </c:pt>
                <c:pt idx="6">
                  <c:v>存储性能</c:v>
                </c:pt>
                <c:pt idx="7">
                  <c:v>部署位置与跨区域流量</c:v>
                </c:pt>
                <c:pt idx="8">
                  <c:v>入口与负载均衡健康</c:v>
                </c:pt>
                <c:pt idx="9">
                  <c:v>Advisor 性能建议</c:v>
                </c:pt>
              </c:strCache>
            </c:strRef>
          </c:cat>
          <c:val>
            <c:numRef>
              <c:f>概览!$E$14:$E$23</c:f>
              <c:numCache>
                <c:formatCode>General</c:formatCode>
                <c:ptCount val="10"/>
                <c:pt idx="0">
                  <c:v>0</c:v>
                </c:pt>
                <c:pt idx="1">
                  <c:v>0</c:v>
                </c:pt>
                <c:pt idx="2">
                  <c:v>0</c:v>
                </c:pt>
                <c:pt idx="3">
                  <c:v>0</c:v>
                </c:pt>
                <c:pt idx="4">
                  <c:v>1</c:v>
                </c:pt>
                <c:pt idx="5">
                  <c:v>0</c:v>
                </c:pt>
                <c:pt idx="6">
                  <c:v>0</c:v>
                </c:pt>
                <c:pt idx="7">
                  <c:v>0</c:v>
                </c:pt>
                <c:pt idx="8">
                  <c:v>1</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1-95BB-41F3-9B94-B5195BEFD63E}"/>
            </c:ext>
          </c:extLst>
        </c:ser>
        <c:ser>
          <c:idx val="2"/>
          <c:order val="2"/>
          <c:tx>
            <c:v>低</c:v>
          </c:tx>
          <c:spPr>
            <a:solidFill>
              <a:srgbClr val="86B6EF"/>
            </a:solidFill>
            <a:ln>
              <a:solidFill>
                <a:srgbClr val="FCFCFB"/>
              </a:solidFill>
              <a:prstDash val="solid"/>
            </a:ln>
          </c:spPr>
          <c:invertIfNegative val="1"/>
          <c:cat>
            <c:strRef>
              <c:f>概览!$B$14:$B$23</c:f>
              <c:strCache>
                <c:ptCount val="10"/>
                <c:pt idx="0">
                  <c:v>计算负载</c:v>
                </c:pt>
                <c:pt idx="1">
                  <c:v>AKS 节点负载与调度</c:v>
                </c:pt>
                <c:pt idx="2">
                  <c:v>出站 SNAT</c:v>
                </c:pt>
                <c:pt idx="3">
                  <c:v>磁盘与 IO</c:v>
                </c:pt>
                <c:pt idx="4">
                  <c:v>数据库与缓存</c:v>
                </c:pt>
                <c:pt idx="5">
                  <c:v>AI 服务限流与配额</c:v>
                </c:pt>
                <c:pt idx="6">
                  <c:v>存储性能</c:v>
                </c:pt>
                <c:pt idx="7">
                  <c:v>部署位置与跨区域流量</c:v>
                </c:pt>
                <c:pt idx="8">
                  <c:v>入口与负载均衡健康</c:v>
                </c:pt>
                <c:pt idx="9">
                  <c:v>Advisor 性能建议</c:v>
                </c:pt>
              </c:strCache>
            </c:strRef>
          </c:cat>
          <c:val>
            <c:numRef>
              <c:f>概览!$F$14:$F$23</c:f>
              <c:numCache>
                <c:formatCode>General</c:formatCode>
                <c:ptCount val="10"/>
                <c:pt idx="0">
                  <c:v>0</c:v>
                </c:pt>
                <c:pt idx="1">
                  <c:v>0</c:v>
                </c:pt>
                <c:pt idx="2">
                  <c:v>0</c:v>
                </c:pt>
                <c:pt idx="3">
                  <c:v>1</c:v>
                </c:pt>
                <c:pt idx="4">
                  <c:v>0</c:v>
                </c:pt>
                <c:pt idx="5">
                  <c:v>1</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CFCFB"/>
                    </a:solidFill>
                    <a:prstDash val="solid"/>
                  </a:ln>
                </c14:spPr>
              </c14:invertSolidFillFmt>
            </c:ext>
            <c:ext xmlns:c16="http://schemas.microsoft.com/office/drawing/2014/chart" uri="{C3380CC4-5D6E-409C-BE32-E72D297353CC}">
              <c16:uniqueId val="{00000002-95BB-41F3-9B94-B5195BEFD63E}"/>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majorGridlines/>
        <c:numFmt formatCode="General" sourceLinked="1"/>
        <c:majorTickMark val="none"/>
        <c:minorTickMark val="none"/>
        <c:tickLblPos val="nextTo"/>
        <c:crossAx val="10"/>
        <c:crosses val="max"/>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6480000" cy="306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22</xdr:row>
      <xdr:rowOff>0</xdr:rowOff>
    </xdr:from>
    <xdr:ext cx="6480000" cy="306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showGridLines="0" tabSelected="1" workbookViewId="0">
      <pane ySplit="3" topLeftCell="A4" activePane="bottomLeft" state="frozen"/>
      <selection pane="bottomLeft" sqref="A1:H1"/>
    </sheetView>
  </sheetViews>
  <sheetFormatPr defaultRowHeight="14.5" x14ac:dyDescent="0.35"/>
  <cols>
    <col min="1" max="1" width="16" customWidth="1"/>
    <col min="2" max="2" width="30" customWidth="1"/>
    <col min="3" max="7" width="16" customWidth="1"/>
    <col min="8" max="8" width="45" customWidth="1"/>
  </cols>
  <sheetData>
    <row r="1" spans="1:10" ht="18" x14ac:dyDescent="0.35">
      <c r="A1" s="7" t="s">
        <v>0</v>
      </c>
      <c r="B1" s="7"/>
      <c r="C1" s="7"/>
      <c r="D1" s="7"/>
      <c r="E1" s="7"/>
      <c r="F1" s="7"/>
      <c r="G1" s="7"/>
      <c r="H1" s="7"/>
    </row>
    <row r="2" spans="1:10" ht="40" customHeight="1" x14ac:dyDescent="0.35">
      <c r="A2" s="6" t="s">
        <v>1</v>
      </c>
      <c r="B2" s="6"/>
      <c r="C2" s="6"/>
      <c r="D2" s="6"/>
      <c r="E2" s="6"/>
      <c r="F2" s="6"/>
      <c r="G2" s="6"/>
      <c r="H2" s="6"/>
    </row>
    <row r="3" spans="1:10" x14ac:dyDescent="0.35">
      <c r="A3" s="2" t="s">
        <v>2</v>
      </c>
      <c r="B3" s="2" t="s">
        <v>3</v>
      </c>
      <c r="C3" s="2" t="s">
        <v>4</v>
      </c>
      <c r="D3" s="2" t="s">
        <v>5</v>
      </c>
      <c r="E3" s="2" t="s">
        <v>6</v>
      </c>
      <c r="F3" s="2" t="s">
        <v>7</v>
      </c>
      <c r="G3" s="2" t="s">
        <v>8</v>
      </c>
      <c r="H3" s="2" t="s">
        <v>9</v>
      </c>
    </row>
    <row r="4" spans="1:10" x14ac:dyDescent="0.35">
      <c r="A4" s="1" t="s">
        <v>10</v>
      </c>
      <c r="B4" s="1" t="s">
        <v>11</v>
      </c>
      <c r="C4" s="1" t="s">
        <v>12</v>
      </c>
      <c r="D4" s="1">
        <v>1</v>
      </c>
      <c r="E4" s="1">
        <v>0</v>
      </c>
      <c r="F4" s="1">
        <v>0</v>
      </c>
      <c r="G4" s="1">
        <f t="shared" ref="G4:G23" si="0">SUM(D4:F4)</f>
        <v>1</v>
      </c>
      <c r="H4" s="1" t="s">
        <v>13</v>
      </c>
      <c r="J4" t="s">
        <v>14</v>
      </c>
    </row>
    <row r="5" spans="1:10" x14ac:dyDescent="0.35">
      <c r="A5" s="1" t="s">
        <v>10</v>
      </c>
      <c r="B5" s="1" t="s">
        <v>15</v>
      </c>
      <c r="C5" s="1" t="s">
        <v>16</v>
      </c>
      <c r="D5" s="1">
        <v>0</v>
      </c>
      <c r="E5" s="1">
        <v>1</v>
      </c>
      <c r="F5" s="1">
        <v>1</v>
      </c>
      <c r="G5" s="1">
        <f t="shared" si="0"/>
        <v>2</v>
      </c>
      <c r="H5" s="1" t="s">
        <v>17</v>
      </c>
    </row>
    <row r="6" spans="1:10" x14ac:dyDescent="0.35">
      <c r="A6" s="1" t="s">
        <v>10</v>
      </c>
      <c r="B6" s="1" t="s">
        <v>18</v>
      </c>
      <c r="C6" s="1" t="s">
        <v>19</v>
      </c>
      <c r="D6" s="1">
        <v>0</v>
      </c>
      <c r="E6" s="1">
        <v>0</v>
      </c>
      <c r="F6" s="1">
        <v>1</v>
      </c>
      <c r="G6" s="1">
        <f t="shared" si="0"/>
        <v>1</v>
      </c>
      <c r="H6" s="1" t="s">
        <v>20</v>
      </c>
    </row>
    <row r="7" spans="1:10" x14ac:dyDescent="0.35">
      <c r="A7" s="1" t="s">
        <v>10</v>
      </c>
      <c r="B7" s="1" t="s">
        <v>21</v>
      </c>
      <c r="C7" s="1" t="s">
        <v>22</v>
      </c>
      <c r="D7" s="1">
        <v>0</v>
      </c>
      <c r="E7" s="1">
        <v>0</v>
      </c>
      <c r="F7" s="1">
        <v>0</v>
      </c>
      <c r="G7" s="1">
        <f t="shared" si="0"/>
        <v>0</v>
      </c>
      <c r="H7" s="1" t="s">
        <v>23</v>
      </c>
    </row>
    <row r="8" spans="1:10" x14ac:dyDescent="0.35">
      <c r="A8" s="1" t="s">
        <v>10</v>
      </c>
      <c r="B8" s="1" t="s">
        <v>24</v>
      </c>
      <c r="C8" s="1" t="s">
        <v>25</v>
      </c>
      <c r="D8" s="1">
        <v>0</v>
      </c>
      <c r="E8" s="1">
        <v>0</v>
      </c>
      <c r="F8" s="1">
        <v>0</v>
      </c>
      <c r="G8" s="1">
        <f t="shared" si="0"/>
        <v>0</v>
      </c>
      <c r="H8" s="1" t="s">
        <v>23</v>
      </c>
    </row>
    <row r="9" spans="1:10" x14ac:dyDescent="0.35">
      <c r="A9" s="1" t="s">
        <v>10</v>
      </c>
      <c r="B9" s="1" t="s">
        <v>26</v>
      </c>
      <c r="C9" s="1" t="s">
        <v>27</v>
      </c>
      <c r="D9" s="1">
        <v>0</v>
      </c>
      <c r="E9" s="1">
        <v>0</v>
      </c>
      <c r="F9" s="1">
        <v>0</v>
      </c>
      <c r="G9" s="1">
        <f t="shared" si="0"/>
        <v>0</v>
      </c>
      <c r="H9" s="1" t="s">
        <v>23</v>
      </c>
    </row>
    <row r="10" spans="1:10" x14ac:dyDescent="0.35">
      <c r="A10" s="1" t="s">
        <v>10</v>
      </c>
      <c r="B10" s="1" t="s">
        <v>28</v>
      </c>
      <c r="C10" s="1" t="s">
        <v>29</v>
      </c>
      <c r="D10" s="1">
        <v>0</v>
      </c>
      <c r="E10" s="1">
        <v>0</v>
      </c>
      <c r="F10" s="1">
        <v>1</v>
      </c>
      <c r="G10" s="1">
        <f t="shared" si="0"/>
        <v>1</v>
      </c>
      <c r="H10" s="1" t="s">
        <v>30</v>
      </c>
    </row>
    <row r="11" spans="1:10" x14ac:dyDescent="0.35">
      <c r="A11" s="1" t="s">
        <v>10</v>
      </c>
      <c r="B11" s="1" t="s">
        <v>31</v>
      </c>
      <c r="C11" s="1" t="s">
        <v>32</v>
      </c>
      <c r="D11" s="1">
        <v>0</v>
      </c>
      <c r="E11" s="1">
        <v>1</v>
      </c>
      <c r="F11" s="1">
        <v>0</v>
      </c>
      <c r="G11" s="1">
        <f t="shared" si="0"/>
        <v>1</v>
      </c>
      <c r="H11" s="1" t="s">
        <v>30</v>
      </c>
    </row>
    <row r="12" spans="1:10" x14ac:dyDescent="0.35">
      <c r="A12" s="1" t="s">
        <v>10</v>
      </c>
      <c r="B12" s="1" t="s">
        <v>33</v>
      </c>
      <c r="C12" s="1" t="s">
        <v>34</v>
      </c>
      <c r="D12" s="1">
        <v>0</v>
      </c>
      <c r="E12" s="1">
        <v>0</v>
      </c>
      <c r="F12" s="1">
        <v>0</v>
      </c>
      <c r="G12" s="1">
        <f t="shared" si="0"/>
        <v>0</v>
      </c>
      <c r="H12" s="1" t="s">
        <v>23</v>
      </c>
    </row>
    <row r="13" spans="1:10" x14ac:dyDescent="0.35">
      <c r="A13" s="1" t="s">
        <v>10</v>
      </c>
      <c r="B13" s="1" t="s">
        <v>35</v>
      </c>
      <c r="C13" s="1" t="s">
        <v>36</v>
      </c>
      <c r="D13" s="1">
        <v>0</v>
      </c>
      <c r="E13" s="1">
        <v>0</v>
      </c>
      <c r="F13" s="1">
        <v>0</v>
      </c>
      <c r="G13" s="1">
        <f t="shared" si="0"/>
        <v>0</v>
      </c>
      <c r="H13" s="1" t="s">
        <v>23</v>
      </c>
    </row>
    <row r="14" spans="1:10" x14ac:dyDescent="0.35">
      <c r="A14" s="1" t="s">
        <v>37</v>
      </c>
      <c r="B14" s="1" t="s">
        <v>38</v>
      </c>
      <c r="C14" s="1" t="s">
        <v>39</v>
      </c>
      <c r="D14" s="1">
        <v>1</v>
      </c>
      <c r="E14" s="1">
        <v>0</v>
      </c>
      <c r="F14" s="1">
        <v>0</v>
      </c>
      <c r="G14" s="1">
        <f t="shared" si="0"/>
        <v>1</v>
      </c>
      <c r="H14" s="1" t="s">
        <v>40</v>
      </c>
    </row>
    <row r="15" spans="1:10" x14ac:dyDescent="0.35">
      <c r="A15" s="1" t="s">
        <v>37</v>
      </c>
      <c r="B15" s="1" t="s">
        <v>41</v>
      </c>
      <c r="C15" s="1" t="s">
        <v>42</v>
      </c>
      <c r="D15" s="1">
        <v>0</v>
      </c>
      <c r="E15" s="1">
        <v>0</v>
      </c>
      <c r="F15" s="1">
        <v>0</v>
      </c>
      <c r="G15" s="1">
        <f t="shared" si="0"/>
        <v>0</v>
      </c>
      <c r="H15" s="1" t="s">
        <v>23</v>
      </c>
    </row>
    <row r="16" spans="1:10" x14ac:dyDescent="0.35">
      <c r="A16" s="1" t="s">
        <v>37</v>
      </c>
      <c r="B16" s="1" t="s">
        <v>43</v>
      </c>
      <c r="C16" s="1" t="s">
        <v>44</v>
      </c>
      <c r="D16" s="1">
        <v>0</v>
      </c>
      <c r="E16" s="1">
        <v>0</v>
      </c>
      <c r="F16" s="1">
        <v>0</v>
      </c>
      <c r="G16" s="1">
        <f t="shared" si="0"/>
        <v>0</v>
      </c>
      <c r="H16" s="1" t="s">
        <v>23</v>
      </c>
    </row>
    <row r="17" spans="1:10" x14ac:dyDescent="0.35">
      <c r="A17" s="1" t="s">
        <v>37</v>
      </c>
      <c r="B17" s="1" t="s">
        <v>45</v>
      </c>
      <c r="C17" s="1" t="s">
        <v>46</v>
      </c>
      <c r="D17" s="1">
        <v>0</v>
      </c>
      <c r="E17" s="1">
        <v>0</v>
      </c>
      <c r="F17" s="1">
        <v>1</v>
      </c>
      <c r="G17" s="1">
        <f t="shared" si="0"/>
        <v>1</v>
      </c>
      <c r="H17" s="1" t="s">
        <v>40</v>
      </c>
    </row>
    <row r="18" spans="1:10" x14ac:dyDescent="0.35">
      <c r="A18" s="1" t="s">
        <v>37</v>
      </c>
      <c r="B18" s="1" t="s">
        <v>47</v>
      </c>
      <c r="C18" s="1" t="s">
        <v>48</v>
      </c>
      <c r="D18" s="1">
        <v>0</v>
      </c>
      <c r="E18" s="1">
        <v>1</v>
      </c>
      <c r="F18" s="1">
        <v>0</v>
      </c>
      <c r="G18" s="1">
        <f t="shared" si="0"/>
        <v>1</v>
      </c>
      <c r="H18" s="1" t="s">
        <v>49</v>
      </c>
    </row>
    <row r="19" spans="1:10" x14ac:dyDescent="0.35">
      <c r="A19" s="1" t="s">
        <v>37</v>
      </c>
      <c r="B19" s="1" t="s">
        <v>50</v>
      </c>
      <c r="C19" s="1" t="s">
        <v>51</v>
      </c>
      <c r="D19" s="1">
        <v>0</v>
      </c>
      <c r="E19" s="1">
        <v>0</v>
      </c>
      <c r="F19" s="1">
        <v>1</v>
      </c>
      <c r="G19" s="1">
        <f t="shared" si="0"/>
        <v>1</v>
      </c>
      <c r="H19" s="1" t="s">
        <v>52</v>
      </c>
    </row>
    <row r="20" spans="1:10" x14ac:dyDescent="0.35">
      <c r="A20" s="1" t="s">
        <v>37</v>
      </c>
      <c r="B20" s="1" t="s">
        <v>53</v>
      </c>
      <c r="C20" s="1" t="s">
        <v>54</v>
      </c>
      <c r="D20" s="1">
        <v>0</v>
      </c>
      <c r="E20" s="1">
        <v>0</v>
      </c>
      <c r="F20" s="1">
        <v>0</v>
      </c>
      <c r="G20" s="1">
        <f t="shared" si="0"/>
        <v>0</v>
      </c>
      <c r="H20" s="1" t="s">
        <v>23</v>
      </c>
    </row>
    <row r="21" spans="1:10" x14ac:dyDescent="0.35">
      <c r="A21" s="1" t="s">
        <v>37</v>
      </c>
      <c r="B21" s="1" t="s">
        <v>55</v>
      </c>
      <c r="C21" s="1" t="s">
        <v>56</v>
      </c>
      <c r="D21" s="1">
        <v>0</v>
      </c>
      <c r="E21" s="1">
        <v>0</v>
      </c>
      <c r="F21" s="1">
        <v>0</v>
      </c>
      <c r="G21" s="1">
        <f t="shared" si="0"/>
        <v>0</v>
      </c>
      <c r="H21" s="1" t="s">
        <v>23</v>
      </c>
    </row>
    <row r="22" spans="1:10" x14ac:dyDescent="0.35">
      <c r="A22" s="1" t="s">
        <v>37</v>
      </c>
      <c r="B22" s="1" t="s">
        <v>57</v>
      </c>
      <c r="C22" s="1" t="s">
        <v>58</v>
      </c>
      <c r="D22" s="1">
        <v>0</v>
      </c>
      <c r="E22" s="1">
        <v>1</v>
      </c>
      <c r="F22" s="1">
        <v>0</v>
      </c>
      <c r="G22" s="1">
        <f t="shared" si="0"/>
        <v>1</v>
      </c>
      <c r="H22" s="1" t="s">
        <v>59</v>
      </c>
      <c r="J22" t="s">
        <v>60</v>
      </c>
    </row>
    <row r="23" spans="1:10" x14ac:dyDescent="0.35">
      <c r="A23" s="1" t="s">
        <v>37</v>
      </c>
      <c r="B23" s="1" t="s">
        <v>61</v>
      </c>
      <c r="C23" s="1" t="s">
        <v>62</v>
      </c>
      <c r="D23" s="1">
        <v>0</v>
      </c>
      <c r="E23" s="1">
        <v>0</v>
      </c>
      <c r="F23" s="1">
        <v>0</v>
      </c>
      <c r="G23" s="1">
        <f t="shared" si="0"/>
        <v>0</v>
      </c>
      <c r="H23" s="1" t="s">
        <v>23</v>
      </c>
    </row>
    <row r="24" spans="1:10" x14ac:dyDescent="0.35">
      <c r="A24" s="1" t="s">
        <v>8</v>
      </c>
      <c r="B24" s="1"/>
      <c r="C24" s="1"/>
      <c r="D24" s="1">
        <f>SUM(D4:D23)</f>
        <v>2</v>
      </c>
      <c r="E24" s="1">
        <f>SUM(E4:E23)</f>
        <v>4</v>
      </c>
      <c r="F24" s="1">
        <f>SUM(F4:F23)</f>
        <v>5</v>
      </c>
      <c r="G24" s="1">
        <f>SUM(G4:G23)</f>
        <v>11</v>
      </c>
      <c r="H24" s="1"/>
    </row>
  </sheetData>
  <autoFilter ref="A3:H24" xr:uid="{00000000-0009-0000-0000-000000000000}"/>
  <mergeCells count="2">
    <mergeCell ref="A2:H2"/>
    <mergeCell ref="A1:H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4"/>
  <sheetViews>
    <sheetView showGridLines="0" workbookViewId="0">
      <pane ySplit="3" topLeftCell="A4" activePane="bottomLeft" state="frozen"/>
      <selection pane="bottomLeft"/>
    </sheetView>
  </sheetViews>
  <sheetFormatPr defaultRowHeight="14.5" x14ac:dyDescent="0.35"/>
  <cols>
    <col min="1" max="6" width="16" customWidth="1"/>
    <col min="7" max="7" width="30" customWidth="1"/>
    <col min="8" max="9" width="16" customWidth="1"/>
    <col min="10" max="10" width="80" customWidth="1"/>
    <col min="11" max="11" width="70" customWidth="1"/>
    <col min="12" max="13" width="50" customWidth="1"/>
    <col min="14" max="16" width="60" customWidth="1"/>
    <col min="17" max="17" width="16" customWidth="1"/>
    <col min="18" max="18" width="60" customWidth="1"/>
    <col min="19" max="19" width="24" customWidth="1"/>
    <col min="20" max="23" width="16" customWidth="1"/>
  </cols>
  <sheetData>
    <row r="1" spans="1:23" ht="18" x14ac:dyDescent="0.35">
      <c r="A1" s="7" t="s">
        <v>63</v>
      </c>
      <c r="B1" s="7"/>
      <c r="C1" s="7"/>
      <c r="D1" s="7"/>
      <c r="E1" s="7"/>
      <c r="F1" s="7"/>
      <c r="G1" s="7"/>
      <c r="H1" s="7"/>
      <c r="I1" s="7"/>
      <c r="J1" s="7"/>
      <c r="K1" s="7"/>
      <c r="L1" s="7"/>
      <c r="M1" s="7"/>
      <c r="N1" s="7"/>
      <c r="O1" s="7"/>
      <c r="P1" s="7"/>
      <c r="Q1" s="7"/>
      <c r="R1" s="7"/>
      <c r="S1" s="7"/>
      <c r="T1" s="7"/>
      <c r="U1" s="7"/>
      <c r="V1" s="7"/>
      <c r="W1" s="7"/>
    </row>
    <row r="2" spans="1:23" ht="40" customHeight="1" x14ac:dyDescent="0.35">
      <c r="A2" s="6" t="s">
        <v>64</v>
      </c>
      <c r="B2" s="6"/>
      <c r="C2" s="6"/>
      <c r="D2" s="6"/>
      <c r="E2" s="6"/>
      <c r="F2" s="6"/>
      <c r="G2" s="6"/>
      <c r="H2" s="6"/>
      <c r="I2" s="6"/>
      <c r="J2" s="6"/>
      <c r="K2" s="6"/>
      <c r="L2" s="6"/>
      <c r="M2" s="6"/>
      <c r="N2" s="6"/>
      <c r="O2" s="6"/>
      <c r="P2" s="6"/>
      <c r="Q2" s="6"/>
      <c r="R2" s="6"/>
      <c r="S2" s="6"/>
      <c r="T2" s="6"/>
      <c r="U2" s="6"/>
      <c r="V2" s="6"/>
      <c r="W2" s="6"/>
    </row>
    <row r="3" spans="1:23" x14ac:dyDescent="0.35">
      <c r="A3" s="2" t="s">
        <v>4</v>
      </c>
      <c r="B3" s="2" t="s">
        <v>2</v>
      </c>
      <c r="C3" s="2" t="s">
        <v>3</v>
      </c>
      <c r="D3" s="2" t="s">
        <v>65</v>
      </c>
      <c r="E3" s="2" t="s">
        <v>66</v>
      </c>
      <c r="F3" s="2" t="s">
        <v>67</v>
      </c>
      <c r="G3" s="2" t="s">
        <v>68</v>
      </c>
      <c r="H3" s="2" t="s">
        <v>69</v>
      </c>
      <c r="I3" s="2" t="s">
        <v>70</v>
      </c>
      <c r="J3" s="2" t="s">
        <v>71</v>
      </c>
      <c r="K3" s="2" t="s">
        <v>72</v>
      </c>
      <c r="L3" s="2" t="s">
        <v>73</v>
      </c>
      <c r="M3" s="2" t="s">
        <v>74</v>
      </c>
      <c r="N3" s="2" t="s">
        <v>75</v>
      </c>
      <c r="O3" s="2" t="s">
        <v>76</v>
      </c>
      <c r="P3" s="2" t="s">
        <v>77</v>
      </c>
      <c r="Q3" s="2" t="s">
        <v>9</v>
      </c>
      <c r="R3" s="2" t="s">
        <v>78</v>
      </c>
      <c r="S3" s="2" t="s">
        <v>79</v>
      </c>
      <c r="T3" s="2" t="s">
        <v>80</v>
      </c>
      <c r="U3" s="2" t="s">
        <v>81</v>
      </c>
      <c r="V3" s="2" t="s">
        <v>82</v>
      </c>
      <c r="W3" s="2" t="s">
        <v>83</v>
      </c>
    </row>
    <row r="4" spans="1:23" ht="37.5" x14ac:dyDescent="0.35">
      <c r="A4" s="1" t="s">
        <v>84</v>
      </c>
      <c r="B4" s="1" t="s">
        <v>10</v>
      </c>
      <c r="C4" s="1" t="s">
        <v>11</v>
      </c>
      <c r="D4" s="3" t="s">
        <v>5</v>
      </c>
      <c r="E4" s="1" t="s">
        <v>85</v>
      </c>
      <c r="F4" s="1" t="s">
        <v>86</v>
      </c>
      <c r="G4" s="1" t="s">
        <v>87</v>
      </c>
      <c r="H4" s="1" t="s">
        <v>88</v>
      </c>
      <c r="I4" s="1" t="s">
        <v>89</v>
      </c>
      <c r="J4" s="1" t="s">
        <v>90</v>
      </c>
      <c r="K4" s="1" t="s">
        <v>91</v>
      </c>
      <c r="L4" s="1" t="s">
        <v>92</v>
      </c>
      <c r="M4" s="1"/>
      <c r="N4" s="1"/>
      <c r="O4" s="1"/>
      <c r="P4" s="1"/>
      <c r="Q4" s="1">
        <v>1</v>
      </c>
      <c r="R4" s="1" t="s">
        <v>87</v>
      </c>
      <c r="S4" s="1" t="s">
        <v>93</v>
      </c>
      <c r="T4" s="1"/>
      <c r="U4" s="1"/>
      <c r="V4" s="1"/>
      <c r="W4" s="1"/>
    </row>
    <row r="5" spans="1:23" ht="25" x14ac:dyDescent="0.35">
      <c r="A5" s="1" t="s">
        <v>94</v>
      </c>
      <c r="B5" s="1" t="s">
        <v>37</v>
      </c>
      <c r="C5" s="1" t="s">
        <v>38</v>
      </c>
      <c r="D5" s="3" t="s">
        <v>5</v>
      </c>
      <c r="E5" s="1" t="s">
        <v>85</v>
      </c>
      <c r="F5" s="1" t="s">
        <v>86</v>
      </c>
      <c r="G5" s="1" t="s">
        <v>95</v>
      </c>
      <c r="H5" s="1" t="s">
        <v>96</v>
      </c>
      <c r="I5" s="1" t="s">
        <v>89</v>
      </c>
      <c r="J5" s="1" t="s">
        <v>97</v>
      </c>
      <c r="K5" s="1" t="s">
        <v>98</v>
      </c>
      <c r="L5" s="1" t="s">
        <v>99</v>
      </c>
      <c r="M5" s="1"/>
      <c r="N5" s="1"/>
      <c r="O5" s="1"/>
      <c r="P5" s="1"/>
      <c r="Q5" s="1">
        <v>1</v>
      </c>
      <c r="R5" s="1" t="s">
        <v>95</v>
      </c>
      <c r="S5" s="1" t="s">
        <v>93</v>
      </c>
      <c r="T5" s="1"/>
      <c r="U5" s="1"/>
      <c r="V5" s="1"/>
      <c r="W5" s="1"/>
    </row>
    <row r="6" spans="1:23" ht="175" x14ac:dyDescent="0.35">
      <c r="A6" s="1" t="s">
        <v>100</v>
      </c>
      <c r="B6" s="1" t="s">
        <v>10</v>
      </c>
      <c r="C6" s="1" t="s">
        <v>15</v>
      </c>
      <c r="D6" s="4" t="s">
        <v>6</v>
      </c>
      <c r="E6" s="1" t="s">
        <v>101</v>
      </c>
      <c r="F6" s="1"/>
      <c r="G6" s="1" t="s">
        <v>102</v>
      </c>
      <c r="H6" s="1"/>
      <c r="I6" s="1" t="s">
        <v>89</v>
      </c>
      <c r="J6" s="1" t="s">
        <v>103</v>
      </c>
      <c r="K6" s="1" t="s">
        <v>104</v>
      </c>
      <c r="L6" s="1" t="s">
        <v>105</v>
      </c>
      <c r="M6" s="1"/>
      <c r="N6" s="1" t="s">
        <v>106</v>
      </c>
      <c r="O6" s="1" t="s">
        <v>107</v>
      </c>
      <c r="P6" s="1" t="s">
        <v>108</v>
      </c>
      <c r="Q6" s="1">
        <v>4</v>
      </c>
      <c r="R6" s="1" t="s">
        <v>109</v>
      </c>
      <c r="S6" s="1" t="s">
        <v>93</v>
      </c>
      <c r="T6" s="1"/>
      <c r="U6" s="1"/>
      <c r="V6" s="1"/>
      <c r="W6" s="1"/>
    </row>
    <row r="7" spans="1:23" ht="25" x14ac:dyDescent="0.35">
      <c r="A7" s="1" t="s">
        <v>110</v>
      </c>
      <c r="B7" s="1" t="s">
        <v>10</v>
      </c>
      <c r="C7" s="1" t="s">
        <v>31</v>
      </c>
      <c r="D7" s="4" t="s">
        <v>6</v>
      </c>
      <c r="E7" s="1" t="s">
        <v>111</v>
      </c>
      <c r="F7" s="1"/>
      <c r="G7" s="1" t="s">
        <v>112</v>
      </c>
      <c r="H7" s="1"/>
      <c r="I7" s="1" t="s">
        <v>89</v>
      </c>
      <c r="J7" s="1" t="s">
        <v>113</v>
      </c>
      <c r="K7" s="1" t="s">
        <v>114</v>
      </c>
      <c r="L7" s="1" t="s">
        <v>115</v>
      </c>
      <c r="M7" s="1"/>
      <c r="N7" s="1"/>
      <c r="O7" s="1"/>
      <c r="P7" s="1"/>
      <c r="Q7" s="1">
        <v>1</v>
      </c>
      <c r="R7" s="1" t="s">
        <v>112</v>
      </c>
      <c r="S7" s="1" t="s">
        <v>93</v>
      </c>
      <c r="T7" s="1"/>
      <c r="U7" s="1"/>
      <c r="V7" s="1"/>
      <c r="W7" s="1"/>
    </row>
    <row r="8" spans="1:23" ht="25" x14ac:dyDescent="0.35">
      <c r="A8" s="1" t="s">
        <v>116</v>
      </c>
      <c r="B8" s="1" t="s">
        <v>37</v>
      </c>
      <c r="C8" s="1" t="s">
        <v>47</v>
      </c>
      <c r="D8" s="4" t="s">
        <v>6</v>
      </c>
      <c r="E8" s="1" t="s">
        <v>85</v>
      </c>
      <c r="F8" s="1" t="s">
        <v>86</v>
      </c>
      <c r="G8" s="1" t="s">
        <v>117</v>
      </c>
      <c r="H8" s="1" t="s">
        <v>118</v>
      </c>
      <c r="I8" s="1" t="s">
        <v>119</v>
      </c>
      <c r="J8" s="1" t="s">
        <v>120</v>
      </c>
      <c r="K8" s="1" t="s">
        <v>121</v>
      </c>
      <c r="L8" s="1" t="s">
        <v>122</v>
      </c>
      <c r="M8" s="1"/>
      <c r="N8" s="1"/>
      <c r="O8" s="1"/>
      <c r="P8" s="1"/>
      <c r="Q8" s="1">
        <v>1</v>
      </c>
      <c r="R8" s="1" t="s">
        <v>117</v>
      </c>
      <c r="S8" s="1" t="s">
        <v>93</v>
      </c>
      <c r="T8" s="1"/>
      <c r="U8" s="1"/>
      <c r="V8" s="1"/>
      <c r="W8" s="1"/>
    </row>
    <row r="9" spans="1:23" ht="37.5" x14ac:dyDescent="0.35">
      <c r="A9" s="1" t="s">
        <v>123</v>
      </c>
      <c r="B9" s="1" t="s">
        <v>37</v>
      </c>
      <c r="C9" s="1" t="s">
        <v>57</v>
      </c>
      <c r="D9" s="4" t="s">
        <v>6</v>
      </c>
      <c r="E9" s="1" t="s">
        <v>85</v>
      </c>
      <c r="F9" s="1" t="s">
        <v>86</v>
      </c>
      <c r="G9" s="1" t="s">
        <v>124</v>
      </c>
      <c r="H9" s="1" t="s">
        <v>125</v>
      </c>
      <c r="I9" s="1" t="s">
        <v>89</v>
      </c>
      <c r="J9" s="1" t="s">
        <v>126</v>
      </c>
      <c r="K9" s="1" t="s">
        <v>127</v>
      </c>
      <c r="L9" s="1" t="s">
        <v>128</v>
      </c>
      <c r="M9" s="1"/>
      <c r="N9" s="1"/>
      <c r="O9" s="1"/>
      <c r="P9" s="1"/>
      <c r="Q9" s="1">
        <v>1</v>
      </c>
      <c r="R9" s="1" t="s">
        <v>124</v>
      </c>
      <c r="S9" s="1" t="s">
        <v>129</v>
      </c>
      <c r="T9" s="1"/>
      <c r="U9" s="1"/>
      <c r="V9" s="1"/>
      <c r="W9" s="1"/>
    </row>
    <row r="10" spans="1:23" ht="75" x14ac:dyDescent="0.35">
      <c r="A10" s="1" t="s">
        <v>130</v>
      </c>
      <c r="B10" s="1" t="s">
        <v>10</v>
      </c>
      <c r="C10" s="1" t="s">
        <v>15</v>
      </c>
      <c r="D10" s="5" t="s">
        <v>7</v>
      </c>
      <c r="E10" s="1" t="s">
        <v>85</v>
      </c>
      <c r="F10" s="1"/>
      <c r="G10" s="1" t="s">
        <v>131</v>
      </c>
      <c r="H10" s="1" t="s">
        <v>132</v>
      </c>
      <c r="I10" s="1" t="s">
        <v>119</v>
      </c>
      <c r="J10" s="1" t="s">
        <v>133</v>
      </c>
      <c r="K10" s="1" t="s">
        <v>134</v>
      </c>
      <c r="L10" s="1" t="s">
        <v>105</v>
      </c>
      <c r="M10" s="1"/>
      <c r="N10" s="1" t="s">
        <v>135</v>
      </c>
      <c r="O10" s="1" t="s">
        <v>136</v>
      </c>
      <c r="P10" s="1" t="s">
        <v>137</v>
      </c>
      <c r="Q10" s="1">
        <v>1</v>
      </c>
      <c r="R10" s="1" t="s">
        <v>131</v>
      </c>
      <c r="S10" s="1" t="s">
        <v>93</v>
      </c>
      <c r="T10" s="1"/>
      <c r="U10" s="1"/>
      <c r="V10" s="1"/>
      <c r="W10" s="1"/>
    </row>
    <row r="11" spans="1:23" ht="25" x14ac:dyDescent="0.35">
      <c r="A11" s="1" t="s">
        <v>138</v>
      </c>
      <c r="B11" s="1" t="s">
        <v>10</v>
      </c>
      <c r="C11" s="1" t="s">
        <v>18</v>
      </c>
      <c r="D11" s="5" t="s">
        <v>7</v>
      </c>
      <c r="E11" s="1" t="s">
        <v>139</v>
      </c>
      <c r="F11" s="1"/>
      <c r="G11" s="1" t="s">
        <v>20</v>
      </c>
      <c r="H11" s="1"/>
      <c r="I11" s="1" t="s">
        <v>89</v>
      </c>
      <c r="J11" s="1" t="s">
        <v>140</v>
      </c>
      <c r="K11" s="1" t="s">
        <v>141</v>
      </c>
      <c r="L11" s="1" t="s">
        <v>142</v>
      </c>
      <c r="M11" s="1"/>
      <c r="N11" s="1"/>
      <c r="O11" s="1"/>
      <c r="P11" s="1"/>
      <c r="Q11" s="1">
        <v>2</v>
      </c>
      <c r="R11" s="1" t="s">
        <v>143</v>
      </c>
      <c r="S11" s="1" t="s">
        <v>93</v>
      </c>
      <c r="T11" s="1"/>
      <c r="U11" s="1"/>
      <c r="V11" s="1"/>
      <c r="W11" s="1"/>
    </row>
    <row r="12" spans="1:23" ht="25" x14ac:dyDescent="0.35">
      <c r="A12" s="1" t="s">
        <v>144</v>
      </c>
      <c r="B12" s="1" t="s">
        <v>10</v>
      </c>
      <c r="C12" s="1" t="s">
        <v>28</v>
      </c>
      <c r="D12" s="5" t="s">
        <v>7</v>
      </c>
      <c r="E12" s="1" t="s">
        <v>111</v>
      </c>
      <c r="F12" s="1"/>
      <c r="G12" s="1" t="s">
        <v>145</v>
      </c>
      <c r="H12" s="1"/>
      <c r="I12" s="1" t="s">
        <v>146</v>
      </c>
      <c r="J12" s="1" t="s">
        <v>147</v>
      </c>
      <c r="K12" s="1" t="s">
        <v>148</v>
      </c>
      <c r="L12" s="1" t="s">
        <v>149</v>
      </c>
      <c r="M12" s="1"/>
      <c r="N12" s="1"/>
      <c r="O12" s="1"/>
      <c r="P12" s="1"/>
      <c r="Q12" s="1">
        <v>1</v>
      </c>
      <c r="R12" s="1" t="s">
        <v>145</v>
      </c>
      <c r="S12" s="1" t="s">
        <v>93</v>
      </c>
      <c r="T12" s="1"/>
      <c r="U12" s="1"/>
      <c r="V12" s="1"/>
      <c r="W12" s="1"/>
    </row>
    <row r="13" spans="1:23" ht="25" x14ac:dyDescent="0.35">
      <c r="A13" s="1" t="s">
        <v>150</v>
      </c>
      <c r="B13" s="1" t="s">
        <v>37</v>
      </c>
      <c r="C13" s="1" t="s">
        <v>45</v>
      </c>
      <c r="D13" s="5" t="s">
        <v>7</v>
      </c>
      <c r="E13" s="1" t="s">
        <v>151</v>
      </c>
      <c r="F13" s="1" t="s">
        <v>152</v>
      </c>
      <c r="G13" s="1" t="s">
        <v>153</v>
      </c>
      <c r="H13" s="1" t="s">
        <v>96</v>
      </c>
      <c r="I13" s="1" t="s">
        <v>89</v>
      </c>
      <c r="J13" s="1" t="s">
        <v>154</v>
      </c>
      <c r="K13" s="1" t="s">
        <v>155</v>
      </c>
      <c r="L13" s="1" t="s">
        <v>156</v>
      </c>
      <c r="M13" s="1"/>
      <c r="N13" s="1"/>
      <c r="O13" s="1"/>
      <c r="P13" s="1"/>
      <c r="Q13" s="1">
        <v>1</v>
      </c>
      <c r="R13" s="1" t="s">
        <v>153</v>
      </c>
      <c r="S13" s="1" t="s">
        <v>93</v>
      </c>
      <c r="T13" s="1"/>
      <c r="U13" s="1"/>
      <c r="V13" s="1"/>
      <c r="W13" s="1"/>
    </row>
    <row r="14" spans="1:23" ht="37.5" x14ac:dyDescent="0.35">
      <c r="A14" s="1" t="s">
        <v>157</v>
      </c>
      <c r="B14" s="1" t="s">
        <v>37</v>
      </c>
      <c r="C14" s="1" t="s">
        <v>50</v>
      </c>
      <c r="D14" s="5" t="s">
        <v>7</v>
      </c>
      <c r="E14" s="1" t="s">
        <v>151</v>
      </c>
      <c r="F14" s="1" t="s">
        <v>152</v>
      </c>
      <c r="G14" s="1" t="s">
        <v>158</v>
      </c>
      <c r="H14" s="1" t="s">
        <v>159</v>
      </c>
      <c r="I14" s="1" t="s">
        <v>89</v>
      </c>
      <c r="J14" s="1" t="s">
        <v>160</v>
      </c>
      <c r="K14" s="1" t="s">
        <v>161</v>
      </c>
      <c r="L14" s="1" t="s">
        <v>162</v>
      </c>
      <c r="M14" s="1"/>
      <c r="N14" s="1"/>
      <c r="O14" s="1"/>
      <c r="P14" s="1"/>
      <c r="Q14" s="1">
        <v>1</v>
      </c>
      <c r="R14" s="1" t="s">
        <v>158</v>
      </c>
      <c r="S14" s="1" t="s">
        <v>93</v>
      </c>
      <c r="T14" s="1"/>
      <c r="U14" s="1"/>
      <c r="V14" s="1"/>
      <c r="W14" s="1"/>
    </row>
  </sheetData>
  <autoFilter ref="A3:W14" xr:uid="{00000000-0009-0000-0000-000001000000}"/>
  <mergeCells count="2">
    <mergeCell ref="A2:W2"/>
    <mergeCell ref="A1:W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showGridLines="0" workbookViewId="0">
      <pane ySplit="3" topLeftCell="A4" activePane="bottomLeft" state="frozen"/>
      <selection pane="bottomLeft"/>
    </sheetView>
  </sheetViews>
  <sheetFormatPr defaultRowHeight="14.5" x14ac:dyDescent="0.35"/>
  <cols>
    <col min="1" max="5" width="16" customWidth="1"/>
    <col min="6" max="6" width="90" customWidth="1"/>
  </cols>
  <sheetData>
    <row r="1" spans="1:6" ht="18" x14ac:dyDescent="0.35">
      <c r="A1" s="7" t="s">
        <v>163</v>
      </c>
      <c r="B1" s="7"/>
      <c r="C1" s="7"/>
      <c r="D1" s="7"/>
      <c r="E1" s="7"/>
      <c r="F1" s="7"/>
    </row>
    <row r="2" spans="1:6" ht="40" customHeight="1" x14ac:dyDescent="0.35">
      <c r="A2" s="6" t="s">
        <v>164</v>
      </c>
      <c r="B2" s="6"/>
      <c r="C2" s="6"/>
      <c r="D2" s="6"/>
      <c r="E2" s="6"/>
      <c r="F2" s="6"/>
    </row>
    <row r="3" spans="1:6" x14ac:dyDescent="0.35">
      <c r="A3" s="2" t="s">
        <v>4</v>
      </c>
      <c r="B3" s="2" t="s">
        <v>3</v>
      </c>
      <c r="C3" s="2" t="s">
        <v>165</v>
      </c>
      <c r="D3" s="2" t="s">
        <v>166</v>
      </c>
      <c r="E3" s="2" t="s">
        <v>167</v>
      </c>
      <c r="F3" s="2" t="s">
        <v>168</v>
      </c>
    </row>
    <row r="4" spans="1:6" x14ac:dyDescent="0.35">
      <c r="A4" s="1" t="s">
        <v>39</v>
      </c>
      <c r="B4" s="1" t="s">
        <v>38</v>
      </c>
      <c r="C4" s="1">
        <v>1</v>
      </c>
      <c r="D4" s="1">
        <v>1</v>
      </c>
      <c r="E4" s="1">
        <v>0</v>
      </c>
      <c r="F4" s="1"/>
    </row>
    <row r="5" spans="1:6" ht="25" x14ac:dyDescent="0.35">
      <c r="A5" s="1" t="s">
        <v>42</v>
      </c>
      <c r="B5" s="1" t="s">
        <v>41</v>
      </c>
      <c r="C5" s="1">
        <v>1</v>
      </c>
      <c r="D5" s="1">
        <v>1</v>
      </c>
      <c r="E5" s="1">
        <v>0</v>
      </c>
      <c r="F5" s="1"/>
    </row>
    <row r="6" spans="1:6" x14ac:dyDescent="0.35">
      <c r="A6" s="1" t="s">
        <v>44</v>
      </c>
      <c r="B6" s="1" t="s">
        <v>43</v>
      </c>
      <c r="C6" s="1">
        <v>1</v>
      </c>
      <c r="D6" s="1">
        <v>1</v>
      </c>
      <c r="E6" s="1">
        <v>0</v>
      </c>
      <c r="F6" s="1"/>
    </row>
    <row r="7" spans="1:6" x14ac:dyDescent="0.35">
      <c r="A7" s="1" t="s">
        <v>46</v>
      </c>
      <c r="B7" s="1" t="s">
        <v>45</v>
      </c>
      <c r="C7" s="1">
        <v>1</v>
      </c>
      <c r="D7" s="1">
        <v>1</v>
      </c>
      <c r="E7" s="1">
        <v>0</v>
      </c>
      <c r="F7" s="1"/>
    </row>
    <row r="8" spans="1:6" x14ac:dyDescent="0.35">
      <c r="A8" s="1" t="s">
        <v>48</v>
      </c>
      <c r="B8" s="1" t="s">
        <v>47</v>
      </c>
      <c r="C8" s="1">
        <v>1</v>
      </c>
      <c r="D8" s="1">
        <v>1</v>
      </c>
      <c r="E8" s="1">
        <v>0</v>
      </c>
      <c r="F8" s="1"/>
    </row>
    <row r="9" spans="1:6" x14ac:dyDescent="0.35">
      <c r="A9" s="1" t="s">
        <v>51</v>
      </c>
      <c r="B9" s="1" t="s">
        <v>50</v>
      </c>
      <c r="C9" s="1">
        <v>1</v>
      </c>
      <c r="D9" s="1">
        <v>1</v>
      </c>
      <c r="E9" s="1">
        <v>0</v>
      </c>
      <c r="F9" s="1"/>
    </row>
    <row r="10" spans="1:6" x14ac:dyDescent="0.35">
      <c r="A10" s="1" t="s">
        <v>54</v>
      </c>
      <c r="B10" s="1" t="s">
        <v>53</v>
      </c>
      <c r="C10" s="1">
        <v>1</v>
      </c>
      <c r="D10" s="1">
        <v>1</v>
      </c>
      <c r="E10" s="1">
        <v>0</v>
      </c>
      <c r="F10" s="1"/>
    </row>
    <row r="11" spans="1:6" ht="25" x14ac:dyDescent="0.35">
      <c r="A11" s="1" t="s">
        <v>56</v>
      </c>
      <c r="B11" s="1" t="s">
        <v>55</v>
      </c>
      <c r="C11" s="1">
        <v>1</v>
      </c>
      <c r="D11" s="1">
        <v>1</v>
      </c>
      <c r="E11" s="1">
        <v>0</v>
      </c>
      <c r="F11" s="1"/>
    </row>
    <row r="12" spans="1:6" ht="25" x14ac:dyDescent="0.35">
      <c r="A12" s="1" t="s">
        <v>58</v>
      </c>
      <c r="B12" s="1" t="s">
        <v>57</v>
      </c>
      <c r="C12" s="1">
        <v>1</v>
      </c>
      <c r="D12" s="1">
        <v>1</v>
      </c>
      <c r="E12" s="1">
        <v>0</v>
      </c>
      <c r="F12" s="1"/>
    </row>
    <row r="13" spans="1:6" x14ac:dyDescent="0.35">
      <c r="A13" s="1" t="s">
        <v>62</v>
      </c>
      <c r="B13" s="1" t="s">
        <v>61</v>
      </c>
      <c r="C13" s="1">
        <v>1</v>
      </c>
      <c r="D13" s="1">
        <v>1</v>
      </c>
      <c r="E13" s="1">
        <v>0</v>
      </c>
      <c r="F13" s="1"/>
    </row>
    <row r="14" spans="1:6" x14ac:dyDescent="0.35">
      <c r="A14" s="1" t="s">
        <v>12</v>
      </c>
      <c r="B14" s="1" t="s">
        <v>11</v>
      </c>
      <c r="C14" s="1">
        <v>1</v>
      </c>
      <c r="D14" s="1">
        <v>1</v>
      </c>
      <c r="E14" s="1">
        <v>0</v>
      </c>
      <c r="F14" s="1"/>
    </row>
    <row r="15" spans="1:6" x14ac:dyDescent="0.35">
      <c r="A15" s="1" t="s">
        <v>16</v>
      </c>
      <c r="B15" s="1" t="s">
        <v>15</v>
      </c>
      <c r="C15" s="1">
        <v>1</v>
      </c>
      <c r="D15" s="1">
        <v>1</v>
      </c>
      <c r="E15" s="1">
        <v>0</v>
      </c>
      <c r="F15" s="1"/>
    </row>
    <row r="16" spans="1:6" x14ac:dyDescent="0.35">
      <c r="A16" s="1" t="s">
        <v>19</v>
      </c>
      <c r="B16" s="1" t="s">
        <v>18</v>
      </c>
      <c r="C16" s="1">
        <v>1</v>
      </c>
      <c r="D16" s="1">
        <v>1</v>
      </c>
      <c r="E16" s="1">
        <v>0</v>
      </c>
      <c r="F16" s="1"/>
    </row>
    <row r="17" spans="1:6" x14ac:dyDescent="0.35">
      <c r="A17" s="1" t="s">
        <v>22</v>
      </c>
      <c r="B17" s="1" t="s">
        <v>21</v>
      </c>
      <c r="C17" s="1">
        <v>1</v>
      </c>
      <c r="D17" s="1">
        <v>1</v>
      </c>
      <c r="E17" s="1">
        <v>0</v>
      </c>
      <c r="F17" s="1"/>
    </row>
    <row r="18" spans="1:6" x14ac:dyDescent="0.35">
      <c r="A18" s="1" t="s">
        <v>25</v>
      </c>
      <c r="B18" s="1" t="s">
        <v>24</v>
      </c>
      <c r="C18" s="1">
        <v>1</v>
      </c>
      <c r="D18" s="1">
        <v>1</v>
      </c>
      <c r="E18" s="1">
        <v>0</v>
      </c>
      <c r="F18" s="1"/>
    </row>
    <row r="19" spans="1:6" x14ac:dyDescent="0.35">
      <c r="A19" s="1" t="s">
        <v>27</v>
      </c>
      <c r="B19" s="1" t="s">
        <v>26</v>
      </c>
      <c r="C19" s="1">
        <v>1</v>
      </c>
      <c r="D19" s="1">
        <v>1</v>
      </c>
      <c r="E19" s="1">
        <v>0</v>
      </c>
      <c r="F19" s="1"/>
    </row>
    <row r="20" spans="1:6" x14ac:dyDescent="0.35">
      <c r="A20" s="1" t="s">
        <v>29</v>
      </c>
      <c r="B20" s="1" t="s">
        <v>28</v>
      </c>
      <c r="C20" s="1">
        <v>1</v>
      </c>
      <c r="D20" s="1">
        <v>1</v>
      </c>
      <c r="E20" s="1">
        <v>0</v>
      </c>
      <c r="F20" s="1"/>
    </row>
    <row r="21" spans="1:6" ht="25" x14ac:dyDescent="0.35">
      <c r="A21" s="1" t="s">
        <v>32</v>
      </c>
      <c r="B21" s="1" t="s">
        <v>31</v>
      </c>
      <c r="C21" s="1">
        <v>1</v>
      </c>
      <c r="D21" s="1">
        <v>1</v>
      </c>
      <c r="E21" s="1">
        <v>0</v>
      </c>
      <c r="F21" s="1"/>
    </row>
    <row r="22" spans="1:6" x14ac:dyDescent="0.35">
      <c r="A22" s="1" t="s">
        <v>34</v>
      </c>
      <c r="B22" s="1" t="s">
        <v>33</v>
      </c>
      <c r="C22" s="1">
        <v>1</v>
      </c>
      <c r="D22" s="1">
        <v>1</v>
      </c>
      <c r="E22" s="1">
        <v>0</v>
      </c>
      <c r="F22" s="1"/>
    </row>
    <row r="23" spans="1:6" x14ac:dyDescent="0.35">
      <c r="A23" s="1" t="s">
        <v>36</v>
      </c>
      <c r="B23" s="1" t="s">
        <v>35</v>
      </c>
      <c r="C23" s="1">
        <v>1</v>
      </c>
      <c r="D23" s="1">
        <v>1</v>
      </c>
      <c r="E23" s="1">
        <v>0</v>
      </c>
      <c r="F23" s="1"/>
    </row>
    <row r="24" spans="1:6" x14ac:dyDescent="0.35">
      <c r="A24" s="1" t="s">
        <v>16</v>
      </c>
      <c r="B24" s="1" t="s">
        <v>15</v>
      </c>
      <c r="C24" s="1">
        <v>1</v>
      </c>
      <c r="D24" s="1">
        <v>1</v>
      </c>
      <c r="E24" s="1">
        <v>0</v>
      </c>
      <c r="F24" s="1"/>
    </row>
    <row r="25" spans="1:6" x14ac:dyDescent="0.35">
      <c r="A25" s="1" t="s">
        <v>169</v>
      </c>
      <c r="B25" s="1" t="s">
        <v>170</v>
      </c>
      <c r="C25" s="1"/>
      <c r="D25" s="1"/>
      <c r="E25" s="1"/>
      <c r="F25" s="1" t="s">
        <v>171</v>
      </c>
    </row>
  </sheetData>
  <autoFilter ref="A3:F25" xr:uid="{00000000-0009-0000-0000-000002000000}"/>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
  <sheetViews>
    <sheetView showGridLines="0" workbookViewId="0">
      <pane ySplit="3" topLeftCell="A4" activePane="bottomLeft" state="frozen"/>
      <selection pane="bottomLeft"/>
    </sheetView>
  </sheetViews>
  <sheetFormatPr defaultRowHeight="14.5" x14ac:dyDescent="0.35"/>
  <cols>
    <col min="1" max="4" width="16" customWidth="1"/>
    <col min="5" max="5" width="30" customWidth="1"/>
    <col min="6" max="6" width="80" customWidth="1"/>
    <col min="7" max="7" width="16" customWidth="1"/>
  </cols>
  <sheetData>
    <row r="1" spans="1:7" ht="18" x14ac:dyDescent="0.35">
      <c r="A1" s="7" t="s">
        <v>172</v>
      </c>
      <c r="B1" s="7"/>
      <c r="C1" s="7"/>
      <c r="D1" s="7"/>
      <c r="E1" s="7"/>
      <c r="F1" s="7"/>
      <c r="G1" s="7"/>
    </row>
    <row r="2" spans="1:7" ht="40" customHeight="1" x14ac:dyDescent="0.35">
      <c r="A2" s="6" t="s">
        <v>173</v>
      </c>
      <c r="B2" s="6"/>
      <c r="C2" s="6"/>
      <c r="D2" s="6"/>
      <c r="E2" s="6"/>
      <c r="F2" s="6"/>
      <c r="G2" s="6"/>
    </row>
    <row r="3" spans="1:7" x14ac:dyDescent="0.35">
      <c r="A3" s="2" t="s">
        <v>4</v>
      </c>
      <c r="B3" s="2" t="s">
        <v>3</v>
      </c>
      <c r="C3" s="2" t="s">
        <v>174</v>
      </c>
      <c r="D3" s="2" t="s">
        <v>66</v>
      </c>
      <c r="E3" s="2" t="s">
        <v>68</v>
      </c>
      <c r="F3" s="2" t="s">
        <v>175</v>
      </c>
      <c r="G3" s="2" t="s">
        <v>176</v>
      </c>
    </row>
    <row r="4" spans="1:7" x14ac:dyDescent="0.35">
      <c r="A4" s="1" t="s">
        <v>177</v>
      </c>
      <c r="B4" s="1" t="s">
        <v>33</v>
      </c>
      <c r="C4" s="1" t="s">
        <v>7</v>
      </c>
      <c r="D4" s="1" t="s">
        <v>178</v>
      </c>
      <c r="E4" s="1" t="s">
        <v>179</v>
      </c>
      <c r="F4" s="1" t="s">
        <v>180</v>
      </c>
      <c r="G4" s="1" t="s">
        <v>181</v>
      </c>
    </row>
  </sheetData>
  <autoFilter ref="A3:G4" xr:uid="{00000000-0009-0000-0000-000003000000}"/>
  <mergeCells count="2">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4"/>
  <sheetViews>
    <sheetView showGridLines="0" workbookViewId="0">
      <pane ySplit="3" topLeftCell="A4" activePane="bottomLeft" state="frozen"/>
      <selection pane="bottomLeft"/>
    </sheetView>
  </sheetViews>
  <sheetFormatPr defaultRowHeight="14.5" x14ac:dyDescent="0.35"/>
  <cols>
    <col min="1" max="1" width="16" customWidth="1"/>
    <col min="2" max="2" width="36" customWidth="1"/>
    <col min="3" max="3" width="50" customWidth="1"/>
    <col min="4" max="4" width="30" customWidth="1"/>
    <col min="5" max="6" width="16" customWidth="1"/>
  </cols>
  <sheetData>
    <row r="1" spans="1:6" ht="18" x14ac:dyDescent="0.35">
      <c r="A1" s="7" t="s">
        <v>182</v>
      </c>
      <c r="B1" s="7"/>
      <c r="C1" s="7"/>
      <c r="D1" s="7"/>
      <c r="E1" s="7"/>
      <c r="F1" s="7"/>
    </row>
    <row r="2" spans="1:6" ht="40" customHeight="1" x14ac:dyDescent="0.35">
      <c r="A2" s="6" t="s">
        <v>183</v>
      </c>
      <c r="B2" s="6"/>
      <c r="C2" s="6"/>
      <c r="D2" s="6"/>
      <c r="E2" s="6"/>
      <c r="F2" s="6"/>
    </row>
    <row r="3" spans="1:6" ht="26" x14ac:dyDescent="0.35">
      <c r="A3" s="2" t="s">
        <v>69</v>
      </c>
      <c r="B3" s="2" t="s">
        <v>184</v>
      </c>
      <c r="C3" s="2" t="s">
        <v>168</v>
      </c>
      <c r="D3" s="2" t="s">
        <v>185</v>
      </c>
      <c r="E3" s="2" t="s">
        <v>186</v>
      </c>
      <c r="F3" s="2" t="s">
        <v>187</v>
      </c>
    </row>
    <row r="4" spans="1:6" ht="25" x14ac:dyDescent="0.35">
      <c r="A4" s="1" t="s">
        <v>188</v>
      </c>
      <c r="B4" s="1" t="s">
        <v>189</v>
      </c>
      <c r="C4" s="1" t="s">
        <v>190</v>
      </c>
      <c r="D4" s="1" t="s">
        <v>191</v>
      </c>
      <c r="E4" s="1" t="s">
        <v>192</v>
      </c>
      <c r="F4" s="1">
        <v>3</v>
      </c>
    </row>
    <row r="5" spans="1:6" x14ac:dyDescent="0.35">
      <c r="A5" s="1" t="s">
        <v>188</v>
      </c>
      <c r="B5" s="1" t="s">
        <v>193</v>
      </c>
      <c r="C5" s="1" t="s">
        <v>194</v>
      </c>
      <c r="D5" s="1" t="s">
        <v>195</v>
      </c>
      <c r="E5" s="1" t="s">
        <v>192</v>
      </c>
      <c r="F5" s="1">
        <v>3</v>
      </c>
    </row>
    <row r="6" spans="1:6" x14ac:dyDescent="0.35">
      <c r="A6" s="1" t="s">
        <v>188</v>
      </c>
      <c r="B6" s="1" t="s">
        <v>196</v>
      </c>
      <c r="C6" s="1" t="s">
        <v>197</v>
      </c>
      <c r="D6" s="1" t="s">
        <v>198</v>
      </c>
      <c r="E6" s="1" t="s">
        <v>192</v>
      </c>
      <c r="F6" s="1">
        <v>2</v>
      </c>
    </row>
    <row r="7" spans="1:6" x14ac:dyDescent="0.35">
      <c r="A7" s="1" t="s">
        <v>188</v>
      </c>
      <c r="B7" s="1" t="s">
        <v>199</v>
      </c>
      <c r="C7" s="1" t="s">
        <v>200</v>
      </c>
      <c r="D7" s="1" t="s">
        <v>201</v>
      </c>
      <c r="E7" s="1" t="s">
        <v>192</v>
      </c>
      <c r="F7" s="1">
        <v>3</v>
      </c>
    </row>
    <row r="8" spans="1:6" x14ac:dyDescent="0.35">
      <c r="A8" s="1" t="s">
        <v>188</v>
      </c>
      <c r="B8" s="1" t="s">
        <v>202</v>
      </c>
      <c r="C8" s="1" t="s">
        <v>203</v>
      </c>
      <c r="D8" s="1" t="s">
        <v>204</v>
      </c>
      <c r="E8" s="1" t="s">
        <v>192</v>
      </c>
      <c r="F8" s="1">
        <v>2</v>
      </c>
    </row>
    <row r="9" spans="1:6" x14ac:dyDescent="0.35">
      <c r="A9" s="1" t="s">
        <v>205</v>
      </c>
      <c r="B9" s="1" t="s">
        <v>206</v>
      </c>
      <c r="C9" s="1" t="s">
        <v>207</v>
      </c>
      <c r="D9" s="1" t="s">
        <v>191</v>
      </c>
      <c r="E9" s="1" t="s">
        <v>208</v>
      </c>
      <c r="F9" s="1">
        <v>2</v>
      </c>
    </row>
    <row r="10" spans="1:6" x14ac:dyDescent="0.35">
      <c r="A10" s="1" t="s">
        <v>205</v>
      </c>
      <c r="B10" s="1" t="s">
        <v>209</v>
      </c>
      <c r="C10" s="1" t="s">
        <v>210</v>
      </c>
      <c r="D10" s="1" t="s">
        <v>191</v>
      </c>
      <c r="E10" s="1" t="s">
        <v>192</v>
      </c>
      <c r="F10" s="1">
        <v>3</v>
      </c>
    </row>
    <row r="11" spans="1:6" x14ac:dyDescent="0.35">
      <c r="A11" s="1" t="s">
        <v>205</v>
      </c>
      <c r="B11" s="1" t="s">
        <v>211</v>
      </c>
      <c r="C11" s="1" t="s">
        <v>212</v>
      </c>
      <c r="D11" s="1" t="s">
        <v>213</v>
      </c>
      <c r="E11" s="1" t="s">
        <v>192</v>
      </c>
      <c r="F11" s="1">
        <v>2</v>
      </c>
    </row>
    <row r="12" spans="1:6" x14ac:dyDescent="0.35">
      <c r="A12" s="1" t="s">
        <v>205</v>
      </c>
      <c r="B12" s="1" t="s">
        <v>214</v>
      </c>
      <c r="C12" s="1" t="s">
        <v>215</v>
      </c>
      <c r="D12" s="1" t="s">
        <v>191</v>
      </c>
      <c r="E12" s="1" t="s">
        <v>208</v>
      </c>
      <c r="F12" s="1">
        <v>2</v>
      </c>
    </row>
    <row r="13" spans="1:6" x14ac:dyDescent="0.35">
      <c r="A13" s="1" t="s">
        <v>205</v>
      </c>
      <c r="B13" s="1" t="s">
        <v>216</v>
      </c>
      <c r="C13" s="1" t="s">
        <v>217</v>
      </c>
      <c r="D13" s="1" t="s">
        <v>218</v>
      </c>
      <c r="E13" s="1" t="s">
        <v>192</v>
      </c>
      <c r="F13" s="1">
        <v>2</v>
      </c>
    </row>
    <row r="14" spans="1:6" x14ac:dyDescent="0.35">
      <c r="A14" s="1" t="s">
        <v>205</v>
      </c>
      <c r="B14" s="1" t="s">
        <v>219</v>
      </c>
      <c r="C14" s="1" t="s">
        <v>220</v>
      </c>
      <c r="D14" s="1" t="s">
        <v>221</v>
      </c>
      <c r="E14" s="1" t="s">
        <v>192</v>
      </c>
      <c r="F14" s="1">
        <v>1</v>
      </c>
    </row>
    <row r="15" spans="1:6" x14ac:dyDescent="0.35">
      <c r="A15" s="1" t="s">
        <v>222</v>
      </c>
      <c r="B15" s="1" t="s">
        <v>206</v>
      </c>
      <c r="C15" s="1" t="s">
        <v>223</v>
      </c>
      <c r="D15" s="1" t="s">
        <v>224</v>
      </c>
      <c r="E15" s="1" t="s">
        <v>192</v>
      </c>
      <c r="F15" s="1">
        <v>2</v>
      </c>
    </row>
    <row r="16" spans="1:6" x14ac:dyDescent="0.35">
      <c r="A16" s="1" t="s">
        <v>222</v>
      </c>
      <c r="B16" s="1" t="s">
        <v>209</v>
      </c>
      <c r="C16" s="1" t="s">
        <v>225</v>
      </c>
      <c r="D16" s="1" t="s">
        <v>224</v>
      </c>
      <c r="E16" s="1" t="s">
        <v>192</v>
      </c>
      <c r="F16" s="1">
        <v>2</v>
      </c>
    </row>
    <row r="17" spans="1:6" x14ac:dyDescent="0.35">
      <c r="A17" s="1" t="s">
        <v>222</v>
      </c>
      <c r="B17" s="1" t="s">
        <v>211</v>
      </c>
      <c r="C17" s="1" t="s">
        <v>226</v>
      </c>
      <c r="D17" s="1" t="s">
        <v>224</v>
      </c>
      <c r="E17" s="1" t="s">
        <v>192</v>
      </c>
      <c r="F17" s="1">
        <v>2</v>
      </c>
    </row>
    <row r="18" spans="1:6" x14ac:dyDescent="0.35">
      <c r="A18" s="1" t="s">
        <v>222</v>
      </c>
      <c r="B18" s="1" t="s">
        <v>216</v>
      </c>
      <c r="C18" s="1" t="s">
        <v>217</v>
      </c>
      <c r="D18" s="1" t="s">
        <v>227</v>
      </c>
      <c r="E18" s="1" t="s">
        <v>192</v>
      </c>
      <c r="F18" s="1">
        <v>2</v>
      </c>
    </row>
    <row r="19" spans="1:6" x14ac:dyDescent="0.35">
      <c r="A19" s="1" t="s">
        <v>222</v>
      </c>
      <c r="B19" s="1" t="s">
        <v>228</v>
      </c>
      <c r="C19" s="1" t="s">
        <v>229</v>
      </c>
      <c r="D19" s="1" t="s">
        <v>230</v>
      </c>
      <c r="E19" s="1" t="s">
        <v>231</v>
      </c>
      <c r="F19" s="1">
        <v>1</v>
      </c>
    </row>
    <row r="20" spans="1:6" x14ac:dyDescent="0.35">
      <c r="A20" s="1" t="s">
        <v>222</v>
      </c>
      <c r="B20" s="1" t="s">
        <v>232</v>
      </c>
      <c r="C20" s="1" t="s">
        <v>233</v>
      </c>
      <c r="D20" s="1" t="s">
        <v>224</v>
      </c>
      <c r="E20" s="1" t="s">
        <v>192</v>
      </c>
      <c r="F20" s="1">
        <v>2</v>
      </c>
    </row>
    <row r="21" spans="1:6" ht="37.5" x14ac:dyDescent="0.35">
      <c r="A21" s="1" t="s">
        <v>234</v>
      </c>
      <c r="B21" s="1" t="s">
        <v>235</v>
      </c>
      <c r="C21" s="1" t="s">
        <v>236</v>
      </c>
      <c r="D21" s="1" t="s">
        <v>237</v>
      </c>
      <c r="E21" s="1" t="s">
        <v>231</v>
      </c>
      <c r="F21" s="1">
        <v>3</v>
      </c>
    </row>
    <row r="22" spans="1:6" ht="25" x14ac:dyDescent="0.35">
      <c r="A22" s="1" t="s">
        <v>234</v>
      </c>
      <c r="B22" s="1" t="s">
        <v>238</v>
      </c>
      <c r="C22" s="1" t="s">
        <v>239</v>
      </c>
      <c r="D22" s="1" t="s">
        <v>224</v>
      </c>
      <c r="E22" s="1" t="s">
        <v>231</v>
      </c>
      <c r="F22" s="1">
        <v>2</v>
      </c>
    </row>
    <row r="23" spans="1:6" ht="25" x14ac:dyDescent="0.35">
      <c r="A23" s="1" t="s">
        <v>234</v>
      </c>
      <c r="B23" s="1" t="s">
        <v>240</v>
      </c>
      <c r="C23" s="1" t="s">
        <v>241</v>
      </c>
      <c r="D23" s="1" t="s">
        <v>242</v>
      </c>
      <c r="E23" s="1" t="s">
        <v>231</v>
      </c>
      <c r="F23" s="1">
        <v>3</v>
      </c>
    </row>
    <row r="24" spans="1:6" ht="25" x14ac:dyDescent="0.35">
      <c r="A24" s="1" t="s">
        <v>234</v>
      </c>
      <c r="B24" s="1" t="s">
        <v>243</v>
      </c>
      <c r="C24" s="1" t="s">
        <v>244</v>
      </c>
      <c r="D24" s="1" t="s">
        <v>245</v>
      </c>
      <c r="E24" s="1" t="s">
        <v>192</v>
      </c>
      <c r="F24" s="1">
        <v>3</v>
      </c>
    </row>
  </sheetData>
  <autoFilter ref="A3:F24" xr:uid="{00000000-0009-0000-0000-000004000000}"/>
  <mergeCells count="2">
    <mergeCell ref="A2:F2"/>
    <mergeCell ref="A1:F1"/>
  </mergeCells>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概览</vt:lpstr>
      <vt:lpstr>问题清单</vt:lpstr>
      <vt:lpstr>检查覆盖</vt:lpstr>
      <vt:lpstr>上月问题处理情况</vt:lpstr>
      <vt:lpstr>推荐告警（AMBA）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Zhou</cp:lastModifiedBy>
  <dcterms:created xsi:type="dcterms:W3CDTF">2026-10-29T15:40:13Z</dcterms:created>
  <dcterms:modified xsi:type="dcterms:W3CDTF">2026-10-29T15:40:16Z</dcterms:modified>
</cp:coreProperties>
</file>