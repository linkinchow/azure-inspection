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wez\AppData\Local\Temp\azinspect-sample-09jfy2fk\2026-09\reports\"/>
    </mc:Choice>
  </mc:AlternateContent>
  <xr:revisionPtr revIDLastSave="0" documentId="13_ncr:1_{B82561CD-1865-4AFF-93B9-329A4E3913F6}" xr6:coauthVersionLast="47" xr6:coauthVersionMax="47" xr10:uidLastSave="{00000000-0000-0000-0000-000000000000}"/>
  <bookViews>
    <workbookView xWindow="2660" yWindow="2660" windowWidth="16920" windowHeight="10450" xr2:uid="{00000000-000D-0000-FFFF-FFFF00000000}"/>
  </bookViews>
  <sheets>
    <sheet name="概览" sheetId="1" r:id="rId1"/>
    <sheet name="偏差明细" sheetId="2" r:id="rId2"/>
    <sheet name="各属性采用情况" sheetId="3" r:id="rId3"/>
    <sheet name="模板修正" sheetId="4" r:id="rId4"/>
    <sheet name="共同缺口" sheetId="5" r:id="rId5"/>
    <sheet name="规律分析" sheetId="6" r:id="rId6"/>
    <sheet name="方法与局限" sheetId="7" r:id="rId7"/>
  </sheets>
  <definedNames>
    <definedName name="_xlnm._FilterDatabase" localSheetId="1" hidden="1">偏差明细!$A$3:$S$11</definedName>
    <definedName name="_xlnm._FilterDatabase" localSheetId="4" hidden="1">共同缺口!$A$3:$F$8</definedName>
    <definedName name="_xlnm._FilterDatabase" localSheetId="2" hidden="1">各属性采用情况!$A$3:$G$15</definedName>
    <definedName name="_xlnm._FilterDatabase" localSheetId="6" hidden="1">方法与局限!$A$3:$B$13</definedName>
    <definedName name="_xlnm._FilterDatabase" localSheetId="0" hidden="1">概览!$A$3:$I$8</definedName>
    <definedName name="_xlnm._FilterDatabase" localSheetId="3" hidden="1">模板修正!$A$3:$F$7</definedName>
    <definedName name="_xlnm._FilterDatabase" localSheetId="5" hidden="1">规律分析!$A$3:$D$6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 l="1"/>
  <c r="F8" i="1"/>
</calcChain>
</file>

<file path=xl/sharedStrings.xml><?xml version="1.0" encoding="utf-8"?>
<sst xmlns="http://schemas.openxmlformats.org/spreadsheetml/2006/main" count="318" uniqueCount="206">
  <si>
    <t>示例客户 同类资源配置对比明细</t>
  </si>
  <si>
    <t>“符合数”指所有比较项都符合标准做法的资源数；虚拟机按订阅分组，数据库日志与告警按业务线分组。高风险偏差＝直接对应安全风险或已引发故障的偏差。</t>
  </si>
  <si>
    <t>类型</t>
  </si>
  <si>
    <t>资源数</t>
  </si>
  <si>
    <t>标准做法</t>
  </si>
  <si>
    <t>符合数</t>
  </si>
  <si>
    <t>符合比例</t>
  </si>
  <si>
    <t>偏差数</t>
  </si>
  <si>
    <t>高风险偏差数</t>
  </si>
  <si>
    <t>主要原因</t>
  </si>
  <si>
    <t>备注</t>
  </si>
  <si>
    <t>MySQL 灵活服务器</t>
  </si>
  <si>
    <t>网络访问：仅私有终结点，无公网防火墙规则（最好再关闭公网开关）；强制 TLS（require_secure_transport）：ON；高可用：ZoneRedundant（跨可用区）；备份保留天数：14 天（按标准方式创建的生产库做法）</t>
  </si>
  <si>
    <t>Terraform 1 个；Azure 门户“创建 MySQL 灵活服务器”向导 1 个；未知：没有标准创建标签，部署历史中也没有创建记录 1 个</t>
  </si>
  <si>
    <t>PostgreSQL 灵活服务器</t>
  </si>
  <si>
    <t>网络访问：私有访问（私有终结点或 VNet 集成），无公网防火墙规则；强制 TLS（require_secure_transport）：on；高可用：ZoneRedundant（跨可用区）</t>
  </si>
  <si>
    <t>—</t>
  </si>
  <si>
    <t>存储账户</t>
  </si>
  <si>
    <t>网络访问：关闭公网或默认拒绝 + 私有终结点；最低 TLS 版本：TLS1_2（3/4 个账户）；Blob 软删除：开启；允许匿名 Blob 访问：禁止（allowBlobPublicAccess=false）</t>
  </si>
  <si>
    <t>未知：没有标准创建标签，部署历史中也没有创建记录 1 个；Terraform 1 个</t>
  </si>
  <si>
    <t>数据库与缓存的日志与告警</t>
  </si>
  <si>
    <t>诊断日志导出：慢查询/审计等日志导出到 Log Analytics</t>
  </si>
  <si>
    <t>合计</t>
  </si>
  <si>
    <t>偏差明细（每行一个资源或一组资源）</t>
  </si>
  <si>
    <t>“与标准做法的差异”按“项目：当前值 → 标准做法”列出。关联问题编号对应可靠性与安全、卓越运营与性能效率报告中的问题。负责人、客户决定、处理状态、完成日期由客户填写。</t>
  </si>
  <si>
    <t>编号</t>
  </si>
  <si>
    <t>资源类型</t>
  </si>
  <si>
    <t>订阅</t>
  </si>
  <si>
    <t>资源组</t>
  </si>
  <si>
    <t>资源</t>
  </si>
  <si>
    <t>环境</t>
  </si>
  <si>
    <t>业务线</t>
  </si>
  <si>
    <t>风险</t>
  </si>
  <si>
    <t>与标准做法的差异</t>
  </si>
  <si>
    <t>原因</t>
  </si>
  <si>
    <t>关联问题编号</t>
  </si>
  <si>
    <t>建议</t>
  </si>
  <si>
    <t>可行性</t>
  </si>
  <si>
    <t>短期措施</t>
  </si>
  <si>
    <t>需要客户确认</t>
  </si>
  <si>
    <t>负责人</t>
  </si>
  <si>
    <t>客户决定</t>
  </si>
  <si>
    <t>处理状态</t>
  </si>
  <si>
    <t>完成日期</t>
  </si>
  <si>
    <t>MYSQL-01</t>
  </si>
  <si>
    <t>shop-prod</t>
  </si>
  <si>
    <t>shop-rg</t>
  </si>
  <si>
    <t>shop-mysql-prod</t>
  </si>
  <si>
    <t>生产（推断：标签 environment=prod）</t>
  </si>
  <si>
    <t>电商</t>
  </si>
  <si>
    <t>一般</t>
  </si>
  <si>
    <t>高可用：SameZone → ZoneRedundant（跨可用区）</t>
  </si>
  <si>
    <t>创建方式：Terraform（带 managed_by=terraform 标签）
创建时间：未取得</t>
  </si>
  <si>
    <t>R5-bd992e、O2-14ab6d</t>
  </si>
  <si>
    <t>把高可用改为跨可用区（先关闭同可用区 HA 再按跨可用区重新开启，确认区域支持）</t>
  </si>
  <si>
    <t>原地修改（需维护窗口或应用配合）</t>
  </si>
  <si>
    <t>MYSQL-02</t>
  </si>
  <si>
    <t>pay-prod</t>
  </si>
  <si>
    <t>pay-rg</t>
  </si>
  <si>
    <t>pay-mysql-prod</t>
  </si>
  <si>
    <t>生产（推断：资源名称）</t>
  </si>
  <si>
    <t>支付</t>
  </si>
  <si>
    <t>高风险</t>
  </si>
  <si>
    <t>网络访问：公网开关=Enabled，私有终结点 0 个，公网防火墙规则 1 条，含全网放行规则 AllowAll_2026-3-14 → 仅私有终结点，无公网防火墙规则（最好再关闭公网开关）
强制 TLS（require_secure_transport）：OFF → ON
高可用：Disabled → ZoneRedundant（跨可用区）
备份保留天数：7 天 → 14 天（按标准方式创建的生产库做法）</t>
  </si>
  <si>
    <t>创建方式：Azure 门户“创建 MySQL 灵活服务器”向导（部署 MySqlFlexibleServer_2026-3-14T02.11.05，2026-03-14）
创建时间：未取得
1 条防火墙规则名称为门户按钮自动生成格式（ClientIPAddress_日期 / AllowAll_日期），说明是在门户里点“添加当前客户端 IP / 允许全部”加上的</t>
  </si>
  <si>
    <t>R5-092698、S-N4-b385e1、O2-d2ae2f</t>
  </si>
  <si>
    <t>为服务器创建私有终结点（或复用已有终结点），把应用连接串切到私有地址后删除全部公网防火墙规则并关闭公网访问；把 require_secure_transport 改为 ON（动态参数，无需重启）；把高可用改为跨可用区（先关闭同可用区 HA 再按跨可用区重新开启，确认区域支持）；把备份保留期调到 14 天</t>
  </si>
  <si>
    <t>原地修改（需维护窗口或应用配合）
网络访问：原地修改（需维护窗口或应用配合）
强制 TLS（require_secure_transport）：原地修改（需维护窗口或应用配合）
高可用：原地修改（需维护窗口或应用配合）
备份保留天数：原地修改</t>
  </si>
  <si>
    <t>立即删除全网放行规则 AllowAll_2026-3-14</t>
  </si>
  <si>
    <t>请确认哪些外部客户端（办公网、第三方）仍需直连，改为经 VPN、跳板机或私有终结点访问；同一应用的库都关闭此项时，说明该应用客户端未启用 TLS，需应用侧先改再打开</t>
  </si>
  <si>
    <t>MYSQL-03</t>
  </si>
  <si>
    <t>shop-test</t>
  </si>
  <si>
    <t>shop-test-rg</t>
  </si>
  <si>
    <t>shop-mysql-test</t>
  </si>
  <si>
    <t>测试（推断：资源名称）</t>
  </si>
  <si>
    <t>网络访问：公网开关=Enabled，私有终结点 0 个，公网防火墙规则 1 条 → 仅私有终结点，无公网防火墙规则（最好再关闭公网开关）</t>
  </si>
  <si>
    <t>创建方式：未知：没有标准创建标签，部署历史中也没有创建记录
创建时间：未取得
1 条防火墙规则名称为门户按钮自动生成格式（ClientIPAddress_日期 / AllowAll_日期），说明是在门户里点“添加当前客户端 IP / 允许全部”加上的</t>
  </si>
  <si>
    <t>为服务器创建私有终结点（或复用已有终结点），把应用连接串切到私有地址后删除全部公网防火墙规则并关闭公网访问</t>
  </si>
  <si>
    <t>请确认哪些外部客户端（办公网、第三方）仍需直连，改为经 VPN、跳板机或私有终结点访问</t>
  </si>
  <si>
    <t>STORAGE-01</t>
  </si>
  <si>
    <t>shopassets</t>
  </si>
  <si>
    <t>生产（推断：订阅名称）</t>
  </si>
  <si>
    <t>网络访问：公网=Enabled，默认动作=Allow，IP/VNet 规则 0/0，私有终结点 0 个 → 关闭公网或默认拒绝 + 私有终结点
Blob 软删除：未开启 → 开启
允许匿名 Blob 访问：True → 禁止（allowBlobPublicAccess=false）</t>
  </si>
  <si>
    <t>创建方式：未知：没有标准创建标签，部署历史中也没有创建记录
创建时间：2024-11-05</t>
  </si>
  <si>
    <t>S-N5-810548</t>
  </si>
  <si>
    <t>先加私有终结点、切换内部访问后关闭公网；开启 Blob 与容器软删除（建议 7~14 天）；关闭账户级匿名访问开关（当前没有匿名容器的账户可直接关闭）</t>
  </si>
  <si>
    <t>原地修改（需维护窗口或应用配合）
网络访问：原地修改（需维护窗口或应用配合）
Blob 软删除：原地修改
允许匿名 Blob 访问：原地修改</t>
  </si>
  <si>
    <t>至少把默认动作改为 Deny 并只放行确需的出口 IP</t>
  </si>
  <si>
    <t>STORAGE-02</t>
  </si>
  <si>
    <t>data-prod</t>
  </si>
  <si>
    <t>data-rg</t>
  </si>
  <si>
    <t>datalakeraw</t>
  </si>
  <si>
    <t>数据平台</t>
  </si>
  <si>
    <t>网络访问：公网=Enabled，默认动作=Allow，IP/VNet 规则 0/0，私有终结点 0 个 → 关闭公网或默认拒绝 + 私有终结点
最低 TLS 版本：TLS1_0 → TLS1_2（3/4 个账户）
Blob 软删除：未开启 → 开启</t>
  </si>
  <si>
    <t>创建方式：Terraform（带 managed_by=terraform 标签）
创建时间：2024-08-20
最低 TLS 为 1.0，通常是旧版接口或迁移工具建账户时的默认值（门户新建默认是 TLS1.2）
按 Terraform 创建但仍对全网开放：存储账户模板没有统一设置网络规则</t>
  </si>
  <si>
    <t>R6-ada966</t>
  </si>
  <si>
    <t>先加私有终结点、切换内部访问后关闭公网；把最低 TLS 版本改为 1.2（Azure 存储已停止支持 TLS 1.0/1.1）；开启 Blob 与容器软删除（建议 7~14 天）</t>
  </si>
  <si>
    <t>原地修改（需维护窗口或应用配合）
网络访问：原地修改（需维护窗口或应用配合）
最低 TLS 版本：原地修改
Blob 软删除：原地修改</t>
  </si>
  <si>
    <t>DBDIAG-01</t>
  </si>
  <si>
    <t>支付：2 个生产数据库/缓存</t>
  </si>
  <si>
    <t>生产</t>
  </si>
  <si>
    <t>诊断日志导出：2/2 个未导出 → 慢查询/审计等日志导出到 Log Analytics</t>
  </si>
  <si>
    <t>创建时间：未取得
未导出日志的资源：pay-mysql-prod, pay-pg-prod</t>
  </si>
  <si>
    <t>O2-d2ae2f</t>
  </si>
  <si>
    <t>为同类资源补诊断设置（MySQL 慢查询/审计、PostgreSQL 日志、Redis 连接/审计），并配置 CPU、内存、存储、连接数、可用性告警</t>
  </si>
  <si>
    <t>原地修改</t>
  </si>
  <si>
    <t>DBDIAG-02</t>
  </si>
  <si>
    <t>数据平台：1 个生产数据库/缓存</t>
  </si>
  <si>
    <t>诊断日志导出：1/1 个未导出 → 慢查询/审计等日志导出到 Log Analytics</t>
  </si>
  <si>
    <t>创建时间：未取得
未导出日志的资源：data-pg-prod</t>
  </si>
  <si>
    <t>DBDIAG-03</t>
  </si>
  <si>
    <t>电商：1 个生产数据库/缓存</t>
  </si>
  <si>
    <t>创建时间：未取得
未导出日志的资源：shop-mysql-prod</t>
  </si>
  <si>
    <t>O2-14ab6d</t>
  </si>
  <si>
    <t>各比较项的采用情况</t>
  </si>
  <si>
    <t>“已采用”指该项已符合标准做法的资源数（虚拟机为订阅组数，数据库日志为业务线组数）。</t>
  </si>
  <si>
    <t>比较项</t>
  </si>
  <si>
    <t>参与比较数</t>
  </si>
  <si>
    <t>已采用</t>
  </si>
  <si>
    <t>采用比例</t>
  </si>
  <si>
    <t>说明</t>
  </si>
  <si>
    <t>网络访问</t>
  </si>
  <si>
    <t>仅私有终结点，无公网防火墙规则（最好再关闭公网开关）</t>
  </si>
  <si>
    <t>强制 TLS（require_secure_transport）</t>
  </si>
  <si>
    <t>ON</t>
  </si>
  <si>
    <t>高可用</t>
  </si>
  <si>
    <t>ZoneRedundant（跨可用区）</t>
  </si>
  <si>
    <t>备份保留天数</t>
  </si>
  <si>
    <t>14 天（按标准方式创建的生产库做法）</t>
  </si>
  <si>
    <t>私有访问（私有终结点或 VNet 集成），无公网防火墙规则</t>
  </si>
  <si>
    <t>on</t>
  </si>
  <si>
    <t>关闭公网或默认拒绝 + 私有终结点</t>
  </si>
  <si>
    <t>最低 TLS 版本</t>
  </si>
  <si>
    <t>TLS1_2（3/4 个账户）</t>
  </si>
  <si>
    <t>Blob 软删除</t>
  </si>
  <si>
    <t>开启</t>
  </si>
  <si>
    <t>允许匿名 Blob 访问</t>
  </si>
  <si>
    <t>禁止（allowBlobPublicAccess=false）</t>
  </si>
  <si>
    <t>诊断日志导出</t>
  </si>
  <si>
    <t>慢查询/审计等日志导出到 Log Analytics</t>
  </si>
  <si>
    <t>需要修正的模板默认值</t>
  </si>
  <si>
    <t>按标准方式创建的资源中出现的偏差，说明模板参数需要修正。</t>
  </si>
  <si>
    <t>模板/业务线</t>
  </si>
  <si>
    <t>当前默认值</t>
  </si>
  <si>
    <t>应改为</t>
  </si>
  <si>
    <t>影响的资源</t>
  </si>
  <si>
    <t>MySQL 灵活服务器 模板</t>
  </si>
  <si>
    <t>高可用：SameZone</t>
  </si>
  <si>
    <t>存储账户 模板</t>
  </si>
  <si>
    <t>网络访问：公网=Enabled，默认动作=Allow，IP/VNet 规则 0/0，私有终结点 0 个</t>
  </si>
  <si>
    <t>最低 TLS 版本：TLS1_0</t>
  </si>
  <si>
    <t>Blob 软删除：未开启</t>
  </si>
  <si>
    <t>没有内部范例的共同缺口</t>
  </si>
  <si>
    <t>所有同类资源都一样缺的配置，按微软推荐统一补齐，并写进模板默认值。</t>
  </si>
  <si>
    <t>缺口</t>
  </si>
  <si>
    <t>总数</t>
  </si>
  <si>
    <t>微软推荐做法</t>
  </si>
  <si>
    <t>异地冗余备份</t>
  </si>
  <si>
    <t>3/3 台没开异地冗余备份；该设置只能在创建时选择，补齐需要“时间点还原到开启异地备份的新服务器”后切换，建议放到下次重建或大版本升级时一并处理。</t>
  </si>
  <si>
    <t>生产库开启异地冗余备份（只能在创建时选择，结合下次重建或大版本升级处理）</t>
  </si>
  <si>
    <t>Azure 告警规则</t>
  </si>
  <si>
    <t>见“数据库与缓存的日志与告警”。</t>
  </si>
  <si>
    <t>配置 CPU、内存、存储、连接数、可用性告警</t>
  </si>
  <si>
    <t>共享密钥访问</t>
  </si>
  <si>
    <t>3/4 个账户允许共享密钥访问，没有统一改为只用 Entra ID；建议先从 IaC 状态和备份账户开始关闭共享密钥。</t>
  </si>
  <si>
    <t>关闭共享密钥，改用 Entra ID 授权（先从 IaC 状态账户和备份账户开始）</t>
  </si>
  <si>
    <t>告警覆盖见卓越运营检查 O2（告警）。</t>
  </si>
  <si>
    <t>偏差的规律：按创建方式、业务线、区域、创建月份</t>
  </si>
  <si>
    <t>高风险偏差统计范围：AKS、MySQL、PostgreSQL、Redis、MongoDB、存储账户、ACR、应用网关、Front Door 共 9 个资源；“任一偏差”统计范围另含虚拟网络。</t>
  </si>
  <si>
    <t>按创建方式</t>
  </si>
  <si>
    <t>有高风险偏差</t>
  </si>
  <si>
    <t>比例</t>
  </si>
  <si>
    <t>未知（无标签、无部署记录）</t>
  </si>
  <si>
    <t>门户向导</t>
  </si>
  <si>
    <t>Terraform</t>
  </si>
  <si>
    <t>按业务线</t>
  </si>
  <si>
    <t>公共网络</t>
  </si>
  <si>
    <t>按区域</t>
  </si>
  <si>
    <t>美国东部</t>
  </si>
  <si>
    <t>日本东部</t>
  </si>
  <si>
    <t>按创建月份（任一偏差）</t>
  </si>
  <si>
    <t>有偏差</t>
  </si>
  <si>
    <t>2024-06</t>
  </si>
  <si>
    <t>2024-08</t>
  </si>
  <si>
    <t>2024-11</t>
  </si>
  <si>
    <t>2025-04</t>
  </si>
  <si>
    <t>按业务线（任一偏差）</t>
  </si>
  <si>
    <t>Terraform 与其他方式（任一偏差）</t>
  </si>
  <si>
    <t>Terraform 资源数</t>
  </si>
  <si>
    <t>其中有偏差</t>
  </si>
  <si>
    <t>其他资源数</t>
  </si>
  <si>
    <t>方法与局限</t>
  </si>
  <si>
    <t>怎么找标准做法、怎么判断原因，以及这次比较没有覆盖的内容。</t>
  </si>
  <si>
    <t>类别</t>
  </si>
  <si>
    <t>方法</t>
  </si>
  <si>
    <t>对每类资源，按业务线和环境分组，找出环境中已在使用、且符合微软推荐的做法作为标准；多数做法本身不合规时，以少数已合规资源的做法为目标并注明覆盖率。逐资源列出与标准不同的属性，再用标准创建标签、创建时间、部署历史（门户向导部署名）、门户规则命名、供应商等证据推断原因，并给出对齐建议和可行性。</t>
  </si>
  <si>
    <t>标签 managed_by=terraform</t>
  </si>
  <si>
    <t>资源组部署历史中的创建类部署名视为门户向导创建；IaC 工具不产生部署记录</t>
  </si>
  <si>
    <t>可行性分类：原地修改；原地修改（需维护窗口或应用配合）；新建节点池/新实例替换（不重建整体）；需重建并迁移；需供应商确认。</t>
  </si>
  <si>
    <t>局限</t>
  </si>
  <si>
    <t>资源创建时间未取得（没有 raw/peer 的采集数据），原因分析只用了标签和部署历史，创建时间显示为“未取得”。</t>
  </si>
  <si>
    <t>没有读取具体创建人账号（活动日志只保留 90 天且含个人信息），只按部署历史判断创建方式。</t>
  </si>
  <si>
    <t>部署历史每个资源组最多保留 800 条，IaC 工具（如 Terraform）不留部署记录，因此“查不到部署记录”不能证明不是门户创建。</t>
  </si>
  <si>
    <t>AKS 节点资源组（MC_*）内的资源和 AKS 自动创建的存储账户由平台管理，没有参与比较。</t>
  </si>
  <si>
    <t>没有比较：NAT 网关和负载均衡（可靠性报告单独检查）、Event Hubs、Private Link Service、VPN 网关；数据库参数只比较了强制 TLS。</t>
  </si>
  <si>
    <t>虚拟机系统内的配置（sshd、防火墙）无法从 Azure 读取；由磁盘创建的虚拟机无法判断是否允许密码登录。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</si>
</sst>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Arial"/>
    </font>
    <font>
      <b/>
      <sz val="14"/>
      <color rgb="FFFFFFFF"/>
      <name val="Arial"/>
    </font>
    <font>
      <b/>
      <sz val="10"/>
      <name val="Arial"/>
    </font>
  </fonts>
  <fills count="5">
    <fill>
      <patternFill patternType="none"/>
    </fill>
    <fill>
      <patternFill patternType="gray125"/>
    </fill>
    <fill>
      <patternFill patternType="solid">
        <fgColor rgb="FFF8CBAD"/>
      </patternFill>
    </fill>
    <fill>
      <patternFill patternType="solid">
        <fgColor rgb="FFDCE6F1"/>
      </patternFill>
    </fill>
    <fill>
      <patternFill patternType="solid">
        <fgColor rgb="FF17365D"/>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3" fillId="3" borderId="0" xfId="0" applyFont="1" applyFill="1" applyAlignment="1">
      <alignment vertical="top" wrapText="1"/>
    </xf>
    <xf numFmtId="9" fontId="1" fillId="0" borderId="0" xfId="0" applyNumberFormat="1" applyFont="1" applyAlignment="1">
      <alignment vertical="top" wrapText="1"/>
    </xf>
    <xf numFmtId="0" fontId="1" fillId="2" borderId="0" xfId="0" applyFont="1" applyFill="1" applyAlignment="1">
      <alignment vertical="top" wrapText="1"/>
    </xf>
    <xf numFmtId="0" fontId="1" fillId="3" borderId="0" xfId="0" applyFont="1" applyFill="1" applyAlignment="1">
      <alignment vertical="top" wrapText="1"/>
    </xf>
    <xf numFmtId="0" fontId="2" fillId="4" borderId="0" xfId="0" applyFont="1" applyFill="1"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按创建方式：有高风险偏差的比例</a:t>
            </a:r>
          </a:p>
        </c:rich>
      </c:tx>
      <c:overlay val="1"/>
    </c:title>
    <c:autoTitleDeleted val="0"/>
    <c:plotArea>
      <c:layout/>
      <c:barChart>
        <c:barDir val="bar"/>
        <c:grouping val="clustered"/>
        <c:varyColors val="1"/>
        <c:ser>
          <c:idx val="0"/>
          <c:order val="0"/>
          <c:spPr>
            <a:solidFill>
              <a:srgbClr val="2A78D6"/>
            </a:solidFill>
            <a:ln>
              <a:solidFill>
                <a:srgbClr val="2A78D6"/>
              </a:solidFill>
              <a:prstDash val="solid"/>
            </a:ln>
          </c:spPr>
          <c:invertIfNegative val="1"/>
          <c:cat>
            <c:strRef>
              <c:f>规律分析!$A$4:$A$6</c:f>
              <c:strCache>
                <c:ptCount val="3"/>
                <c:pt idx="0">
                  <c:v>未知（无标签、无部署记录）</c:v>
                </c:pt>
                <c:pt idx="1">
                  <c:v>门户向导</c:v>
                </c:pt>
                <c:pt idx="2">
                  <c:v>Terraform</c:v>
                </c:pt>
              </c:strCache>
            </c:strRef>
          </c:cat>
          <c:val>
            <c:numRef>
              <c:f>规律分析!$D$4:$D$6</c:f>
              <c:numCache>
                <c:formatCode>0%</c:formatCode>
                <c:ptCount val="3"/>
                <c:pt idx="0">
                  <c:v>1</c:v>
                </c:pt>
                <c:pt idx="1">
                  <c:v>1</c:v>
                </c:pt>
                <c:pt idx="2">
                  <c:v>0.16700000000000001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2A78D6"/>
                    </a:solidFill>
                    <a:prstDash val="solid"/>
                  </a:ln>
                </c14:spPr>
              </c14:invertSolidFillFmt>
            </c:ext>
            <c:ext xmlns:c16="http://schemas.microsoft.com/office/drawing/2014/chart" uri="{C3380CC4-5D6E-409C-BE32-E72D297353CC}">
              <c16:uniqueId val="{00000000-8017-4038-B56F-76ED79638D8C}"/>
            </c:ext>
          </c:extLst>
        </c:ser>
        <c:dLbls>
          <c:showLegendKey val="0"/>
          <c:showVal val="0"/>
          <c:showCatName val="0"/>
          <c:showSerName val="0"/>
          <c:showPercent val="0"/>
          <c:showBubbleSize val="0"/>
        </c:dLbls>
        <c:gapWidth val="8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t"/>
        <c:majorGridlines/>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0</xdr:colOff>
      <xdr:row>2</xdr:row>
      <xdr:rowOff>0</xdr:rowOff>
    </xdr:from>
    <xdr:ext cx="5040000" cy="216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showGridLines="0" tabSelected="1" workbookViewId="0">
      <pane ySplit="3" topLeftCell="A4" activePane="bottomLeft" state="frozen"/>
      <selection pane="bottomLeft" sqref="A1:I1"/>
    </sheetView>
  </sheetViews>
  <sheetFormatPr defaultRowHeight="14.5" x14ac:dyDescent="0.35"/>
  <cols>
    <col min="1" max="1" width="30" customWidth="1"/>
    <col min="2" max="2" width="14" customWidth="1"/>
    <col min="3" max="3" width="60" customWidth="1"/>
    <col min="4" max="5" width="10" customWidth="1"/>
    <col min="6" max="7" width="14" customWidth="1"/>
    <col min="8" max="9" width="40" customWidth="1"/>
  </cols>
  <sheetData>
    <row r="1" spans="1:9" ht="24" customHeight="1" x14ac:dyDescent="0.35">
      <c r="A1" s="6" t="s">
        <v>0</v>
      </c>
      <c r="B1" s="6"/>
      <c r="C1" s="6"/>
      <c r="D1" s="6"/>
      <c r="E1" s="6"/>
      <c r="F1" s="6"/>
      <c r="G1" s="6"/>
      <c r="H1" s="6"/>
      <c r="I1" s="6"/>
    </row>
    <row r="2" spans="1:9" ht="45" customHeight="1" x14ac:dyDescent="0.35">
      <c r="A2" s="7" t="s">
        <v>1</v>
      </c>
      <c r="B2" s="7"/>
      <c r="C2" s="7"/>
      <c r="D2" s="7"/>
      <c r="E2" s="7"/>
      <c r="F2" s="7"/>
      <c r="G2" s="7"/>
      <c r="H2" s="7"/>
      <c r="I2" s="7"/>
    </row>
    <row r="3" spans="1:9" x14ac:dyDescent="0.35">
      <c r="A3" s="2" t="s">
        <v>2</v>
      </c>
      <c r="B3" s="2" t="s">
        <v>3</v>
      </c>
      <c r="C3" s="2" t="s">
        <v>4</v>
      </c>
      <c r="D3" s="2" t="s">
        <v>5</v>
      </c>
      <c r="E3" s="2" t="s">
        <v>6</v>
      </c>
      <c r="F3" s="2" t="s">
        <v>7</v>
      </c>
      <c r="G3" s="2" t="s">
        <v>8</v>
      </c>
      <c r="H3" s="2" t="s">
        <v>9</v>
      </c>
      <c r="I3" s="2" t="s">
        <v>10</v>
      </c>
    </row>
    <row r="4" spans="1:9" ht="50" x14ac:dyDescent="0.35">
      <c r="A4" s="1" t="s">
        <v>11</v>
      </c>
      <c r="B4" s="1">
        <v>3</v>
      </c>
      <c r="C4" s="1" t="s">
        <v>12</v>
      </c>
      <c r="D4" s="1">
        <v>0</v>
      </c>
      <c r="E4" s="3">
        <v>0</v>
      </c>
      <c r="F4" s="1">
        <v>3</v>
      </c>
      <c r="G4" s="1">
        <v>2</v>
      </c>
      <c r="H4" s="1" t="s">
        <v>13</v>
      </c>
      <c r="I4" s="1"/>
    </row>
    <row r="5" spans="1:9" ht="50" x14ac:dyDescent="0.35">
      <c r="A5" s="1" t="s">
        <v>14</v>
      </c>
      <c r="B5" s="1">
        <v>2</v>
      </c>
      <c r="C5" s="1" t="s">
        <v>15</v>
      </c>
      <c r="D5" s="1">
        <v>2</v>
      </c>
      <c r="E5" s="3">
        <v>1</v>
      </c>
      <c r="F5" s="1">
        <v>0</v>
      </c>
      <c r="G5" s="1">
        <v>0</v>
      </c>
      <c r="H5" s="1" t="s">
        <v>16</v>
      </c>
      <c r="I5" s="1"/>
    </row>
    <row r="6" spans="1:9" ht="37.5" x14ac:dyDescent="0.35">
      <c r="A6" s="1" t="s">
        <v>17</v>
      </c>
      <c r="B6" s="1">
        <v>4</v>
      </c>
      <c r="C6" s="1" t="s">
        <v>18</v>
      </c>
      <c r="D6" s="1">
        <v>2</v>
      </c>
      <c r="E6" s="3">
        <v>0.5</v>
      </c>
      <c r="F6" s="1">
        <v>2</v>
      </c>
      <c r="G6" s="1">
        <v>2</v>
      </c>
      <c r="H6" s="1" t="s">
        <v>19</v>
      </c>
      <c r="I6" s="1"/>
    </row>
    <row r="7" spans="1:9" x14ac:dyDescent="0.35">
      <c r="A7" s="1" t="s">
        <v>20</v>
      </c>
      <c r="B7" s="1">
        <v>4</v>
      </c>
      <c r="C7" s="1" t="s">
        <v>21</v>
      </c>
      <c r="D7" s="1">
        <v>0</v>
      </c>
      <c r="E7" s="3">
        <v>0</v>
      </c>
      <c r="F7" s="1">
        <v>3</v>
      </c>
      <c r="G7" s="1">
        <v>0</v>
      </c>
      <c r="H7" s="1"/>
      <c r="I7" s="1"/>
    </row>
    <row r="8" spans="1:9" x14ac:dyDescent="0.35">
      <c r="A8" s="1" t="s">
        <v>22</v>
      </c>
      <c r="B8" s="1"/>
      <c r="C8" s="1"/>
      <c r="D8" s="1"/>
      <c r="E8" s="1"/>
      <c r="F8" s="1">
        <f>SUM(F4:F7)</f>
        <v>8</v>
      </c>
      <c r="G8" s="1">
        <f>SUM(G4:G7)</f>
        <v>4</v>
      </c>
      <c r="H8" s="1"/>
      <c r="I8" s="1"/>
    </row>
  </sheetData>
  <autoFilter ref="A3:I8" xr:uid="{00000000-0009-0000-0000-000000000000}"/>
  <mergeCells count="2">
    <mergeCell ref="A1:I1"/>
    <mergeCell ref="A2:I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1"/>
  <sheetViews>
    <sheetView showGridLines="0" workbookViewId="0">
      <pane ySplit="3" topLeftCell="A4" activePane="bottomLeft" state="frozen"/>
      <selection pane="bottomLeft"/>
    </sheetView>
  </sheetViews>
  <sheetFormatPr defaultRowHeight="14.5" x14ac:dyDescent="0.35"/>
  <cols>
    <col min="1" max="1" width="11" customWidth="1"/>
    <col min="2" max="3" width="18" customWidth="1"/>
    <col min="4" max="4" width="16" customWidth="1"/>
    <col min="5" max="5" width="26" customWidth="1"/>
    <col min="6" max="7" width="16" customWidth="1"/>
    <col min="8" max="8" width="8" customWidth="1"/>
    <col min="9" max="10" width="60" customWidth="1"/>
    <col min="11" max="11" width="22" customWidth="1"/>
    <col min="12" max="12" width="60" customWidth="1"/>
    <col min="13" max="13" width="32" customWidth="1"/>
    <col min="14" max="15" width="40" customWidth="1"/>
    <col min="16" max="19" width="14" customWidth="1"/>
  </cols>
  <sheetData>
    <row r="1" spans="1:19" ht="24" customHeight="1" x14ac:dyDescent="0.35">
      <c r="A1" s="6" t="s">
        <v>23</v>
      </c>
      <c r="B1" s="6"/>
      <c r="C1" s="6"/>
      <c r="D1" s="6"/>
      <c r="E1" s="6"/>
      <c r="F1" s="6"/>
      <c r="G1" s="6"/>
      <c r="H1" s="6"/>
      <c r="I1" s="6"/>
      <c r="J1" s="6"/>
      <c r="K1" s="6"/>
      <c r="L1" s="6"/>
      <c r="M1" s="6"/>
      <c r="N1" s="6"/>
      <c r="O1" s="6"/>
      <c r="P1" s="6"/>
      <c r="Q1" s="6"/>
      <c r="R1" s="6"/>
      <c r="S1" s="6"/>
    </row>
    <row r="2" spans="1:19" ht="45" customHeight="1" x14ac:dyDescent="0.35">
      <c r="A2" s="7" t="s">
        <v>24</v>
      </c>
      <c r="B2" s="7"/>
      <c r="C2" s="7"/>
      <c r="D2" s="7"/>
      <c r="E2" s="7"/>
      <c r="F2" s="7"/>
      <c r="G2" s="7"/>
      <c r="H2" s="7"/>
      <c r="I2" s="7"/>
      <c r="J2" s="7"/>
      <c r="K2" s="7"/>
      <c r="L2" s="7"/>
      <c r="M2" s="7"/>
      <c r="N2" s="7"/>
      <c r="O2" s="7"/>
      <c r="P2" s="7"/>
      <c r="Q2" s="7"/>
      <c r="R2" s="7"/>
      <c r="S2" s="7"/>
    </row>
    <row r="3" spans="1:19" x14ac:dyDescent="0.35">
      <c r="A3" s="2" t="s">
        <v>25</v>
      </c>
      <c r="B3" s="2" t="s">
        <v>26</v>
      </c>
      <c r="C3" s="2" t="s">
        <v>27</v>
      </c>
      <c r="D3" s="2" t="s">
        <v>28</v>
      </c>
      <c r="E3" s="2" t="s">
        <v>29</v>
      </c>
      <c r="F3" s="2" t="s">
        <v>30</v>
      </c>
      <c r="G3" s="2" t="s">
        <v>31</v>
      </c>
      <c r="H3" s="2" t="s">
        <v>32</v>
      </c>
      <c r="I3" s="2" t="s">
        <v>33</v>
      </c>
      <c r="J3" s="2" t="s">
        <v>34</v>
      </c>
      <c r="K3" s="2" t="s">
        <v>35</v>
      </c>
      <c r="L3" s="2" t="s">
        <v>36</v>
      </c>
      <c r="M3" s="2" t="s">
        <v>37</v>
      </c>
      <c r="N3" s="2" t="s">
        <v>38</v>
      </c>
      <c r="O3" s="2" t="s">
        <v>39</v>
      </c>
      <c r="P3" s="2" t="s">
        <v>40</v>
      </c>
      <c r="Q3" s="2" t="s">
        <v>41</v>
      </c>
      <c r="R3" s="2" t="s">
        <v>42</v>
      </c>
      <c r="S3" s="2" t="s">
        <v>43</v>
      </c>
    </row>
    <row r="4" spans="1:19" ht="37.5" x14ac:dyDescent="0.35">
      <c r="A4" s="1" t="s">
        <v>44</v>
      </c>
      <c r="B4" s="1" t="s">
        <v>11</v>
      </c>
      <c r="C4" s="1" t="s">
        <v>45</v>
      </c>
      <c r="D4" s="1" t="s">
        <v>46</v>
      </c>
      <c r="E4" s="1" t="s">
        <v>47</v>
      </c>
      <c r="F4" s="1" t="s">
        <v>48</v>
      </c>
      <c r="G4" s="1" t="s">
        <v>49</v>
      </c>
      <c r="H4" s="1" t="s">
        <v>50</v>
      </c>
      <c r="I4" s="1" t="s">
        <v>51</v>
      </c>
      <c r="J4" s="1" t="s">
        <v>52</v>
      </c>
      <c r="K4" s="1" t="s">
        <v>53</v>
      </c>
      <c r="L4" s="1" t="s">
        <v>54</v>
      </c>
      <c r="M4" s="1" t="s">
        <v>55</v>
      </c>
      <c r="N4" s="1"/>
      <c r="O4" s="1"/>
      <c r="P4" s="1"/>
      <c r="Q4" s="1"/>
      <c r="R4" s="1"/>
      <c r="S4" s="1"/>
    </row>
    <row r="5" spans="1:19" ht="112.5" x14ac:dyDescent="0.35">
      <c r="A5" s="1" t="s">
        <v>56</v>
      </c>
      <c r="B5" s="1" t="s">
        <v>11</v>
      </c>
      <c r="C5" s="1" t="s">
        <v>57</v>
      </c>
      <c r="D5" s="1" t="s">
        <v>58</v>
      </c>
      <c r="E5" s="1" t="s">
        <v>59</v>
      </c>
      <c r="F5" s="1" t="s">
        <v>60</v>
      </c>
      <c r="G5" s="1" t="s">
        <v>61</v>
      </c>
      <c r="H5" s="4" t="s">
        <v>62</v>
      </c>
      <c r="I5" s="1" t="s">
        <v>63</v>
      </c>
      <c r="J5" s="1" t="s">
        <v>64</v>
      </c>
      <c r="K5" s="1" t="s">
        <v>65</v>
      </c>
      <c r="L5" s="1" t="s">
        <v>66</v>
      </c>
      <c r="M5" s="1" t="s">
        <v>67</v>
      </c>
      <c r="N5" s="1" t="s">
        <v>68</v>
      </c>
      <c r="O5" s="1" t="s">
        <v>69</v>
      </c>
      <c r="P5" s="1"/>
      <c r="Q5" s="1"/>
      <c r="R5" s="1"/>
      <c r="S5" s="1"/>
    </row>
    <row r="6" spans="1:19" ht="62.5" x14ac:dyDescent="0.35">
      <c r="A6" s="1" t="s">
        <v>70</v>
      </c>
      <c r="B6" s="1" t="s">
        <v>11</v>
      </c>
      <c r="C6" s="1" t="s">
        <v>71</v>
      </c>
      <c r="D6" s="1" t="s">
        <v>72</v>
      </c>
      <c r="E6" s="1" t="s">
        <v>73</v>
      </c>
      <c r="F6" s="1" t="s">
        <v>74</v>
      </c>
      <c r="G6" s="1" t="s">
        <v>49</v>
      </c>
      <c r="H6" s="4" t="s">
        <v>62</v>
      </c>
      <c r="I6" s="1" t="s">
        <v>75</v>
      </c>
      <c r="J6" s="1" t="s">
        <v>76</v>
      </c>
      <c r="K6" s="1"/>
      <c r="L6" s="1" t="s">
        <v>77</v>
      </c>
      <c r="M6" s="1" t="s">
        <v>55</v>
      </c>
      <c r="N6" s="1"/>
      <c r="O6" s="1" t="s">
        <v>78</v>
      </c>
      <c r="P6" s="1"/>
      <c r="Q6" s="1"/>
      <c r="R6" s="1"/>
      <c r="S6" s="1"/>
    </row>
    <row r="7" spans="1:19" ht="62.5" x14ac:dyDescent="0.35">
      <c r="A7" s="1" t="s">
        <v>79</v>
      </c>
      <c r="B7" s="1" t="s">
        <v>17</v>
      </c>
      <c r="C7" s="1" t="s">
        <v>45</v>
      </c>
      <c r="D7" s="1" t="s">
        <v>46</v>
      </c>
      <c r="E7" s="1" t="s">
        <v>80</v>
      </c>
      <c r="F7" s="1" t="s">
        <v>81</v>
      </c>
      <c r="G7" s="1" t="s">
        <v>49</v>
      </c>
      <c r="H7" s="4" t="s">
        <v>62</v>
      </c>
      <c r="I7" s="1" t="s">
        <v>82</v>
      </c>
      <c r="J7" s="1" t="s">
        <v>83</v>
      </c>
      <c r="K7" s="1" t="s">
        <v>84</v>
      </c>
      <c r="L7" s="1" t="s">
        <v>85</v>
      </c>
      <c r="M7" s="1" t="s">
        <v>86</v>
      </c>
      <c r="N7" s="1" t="s">
        <v>87</v>
      </c>
      <c r="O7" s="1"/>
      <c r="P7" s="1"/>
      <c r="Q7" s="1"/>
      <c r="R7" s="1"/>
      <c r="S7" s="1"/>
    </row>
    <row r="8" spans="1:19" ht="87.5" x14ac:dyDescent="0.35">
      <c r="A8" s="1" t="s">
        <v>88</v>
      </c>
      <c r="B8" s="1" t="s">
        <v>17</v>
      </c>
      <c r="C8" s="1" t="s">
        <v>89</v>
      </c>
      <c r="D8" s="1" t="s">
        <v>90</v>
      </c>
      <c r="E8" s="1" t="s">
        <v>91</v>
      </c>
      <c r="F8" s="1" t="s">
        <v>48</v>
      </c>
      <c r="G8" s="1" t="s">
        <v>92</v>
      </c>
      <c r="H8" s="4" t="s">
        <v>62</v>
      </c>
      <c r="I8" s="1" t="s">
        <v>93</v>
      </c>
      <c r="J8" s="1" t="s">
        <v>94</v>
      </c>
      <c r="K8" s="1" t="s">
        <v>95</v>
      </c>
      <c r="L8" s="1" t="s">
        <v>96</v>
      </c>
      <c r="M8" s="1" t="s">
        <v>97</v>
      </c>
      <c r="N8" s="1" t="s">
        <v>87</v>
      </c>
      <c r="O8" s="1"/>
      <c r="P8" s="1"/>
      <c r="Q8" s="1"/>
      <c r="R8" s="1"/>
      <c r="S8" s="1"/>
    </row>
    <row r="9" spans="1:19" ht="37.5" x14ac:dyDescent="0.35">
      <c r="A9" s="1" t="s">
        <v>98</v>
      </c>
      <c r="B9" s="1" t="s">
        <v>20</v>
      </c>
      <c r="C9" s="1" t="s">
        <v>57</v>
      </c>
      <c r="D9" s="1"/>
      <c r="E9" s="1" t="s">
        <v>99</v>
      </c>
      <c r="F9" s="1" t="s">
        <v>100</v>
      </c>
      <c r="G9" s="1" t="s">
        <v>61</v>
      </c>
      <c r="H9" s="1" t="s">
        <v>50</v>
      </c>
      <c r="I9" s="1" t="s">
        <v>101</v>
      </c>
      <c r="J9" s="1" t="s">
        <v>102</v>
      </c>
      <c r="K9" s="1" t="s">
        <v>103</v>
      </c>
      <c r="L9" s="1" t="s">
        <v>104</v>
      </c>
      <c r="M9" s="1" t="s">
        <v>105</v>
      </c>
      <c r="N9" s="1"/>
      <c r="O9" s="1"/>
      <c r="P9" s="1"/>
      <c r="Q9" s="1"/>
      <c r="R9" s="1"/>
      <c r="S9" s="1"/>
    </row>
    <row r="10" spans="1:19" ht="37.5" x14ac:dyDescent="0.35">
      <c r="A10" s="1" t="s">
        <v>106</v>
      </c>
      <c r="B10" s="1" t="s">
        <v>20</v>
      </c>
      <c r="C10" s="1" t="s">
        <v>89</v>
      </c>
      <c r="D10" s="1"/>
      <c r="E10" s="1" t="s">
        <v>107</v>
      </c>
      <c r="F10" s="1" t="s">
        <v>100</v>
      </c>
      <c r="G10" s="1" t="s">
        <v>92</v>
      </c>
      <c r="H10" s="1" t="s">
        <v>50</v>
      </c>
      <c r="I10" s="1" t="s">
        <v>108</v>
      </c>
      <c r="J10" s="1" t="s">
        <v>109</v>
      </c>
      <c r="K10" s="1" t="s">
        <v>103</v>
      </c>
      <c r="L10" s="1" t="s">
        <v>104</v>
      </c>
      <c r="M10" s="1" t="s">
        <v>105</v>
      </c>
      <c r="N10" s="1"/>
      <c r="O10" s="1"/>
      <c r="P10" s="1"/>
      <c r="Q10" s="1"/>
      <c r="R10" s="1"/>
      <c r="S10" s="1"/>
    </row>
    <row r="11" spans="1:19" ht="37.5" x14ac:dyDescent="0.35">
      <c r="A11" s="1" t="s">
        <v>110</v>
      </c>
      <c r="B11" s="1" t="s">
        <v>20</v>
      </c>
      <c r="C11" s="1" t="s">
        <v>45</v>
      </c>
      <c r="D11" s="1"/>
      <c r="E11" s="1" t="s">
        <v>111</v>
      </c>
      <c r="F11" s="1" t="s">
        <v>100</v>
      </c>
      <c r="G11" s="1" t="s">
        <v>49</v>
      </c>
      <c r="H11" s="1" t="s">
        <v>50</v>
      </c>
      <c r="I11" s="1" t="s">
        <v>108</v>
      </c>
      <c r="J11" s="1" t="s">
        <v>112</v>
      </c>
      <c r="K11" s="1" t="s">
        <v>113</v>
      </c>
      <c r="L11" s="1" t="s">
        <v>104</v>
      </c>
      <c r="M11" s="1" t="s">
        <v>105</v>
      </c>
      <c r="N11" s="1"/>
      <c r="O11" s="1"/>
      <c r="P11" s="1"/>
      <c r="Q11" s="1"/>
      <c r="R11" s="1"/>
      <c r="S11" s="1"/>
    </row>
  </sheetData>
  <autoFilter ref="A3:S11" xr:uid="{00000000-0009-0000-0000-000001000000}"/>
  <mergeCells count="2">
    <mergeCell ref="A2:S2"/>
    <mergeCell ref="A1:S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
  <sheetViews>
    <sheetView showGridLines="0" workbookViewId="0">
      <pane ySplit="3" topLeftCell="A4" activePane="bottomLeft" state="frozen"/>
      <selection pane="bottomLeft"/>
    </sheetView>
  </sheetViews>
  <sheetFormatPr defaultRowHeight="14.5" x14ac:dyDescent="0.35"/>
  <cols>
    <col min="1" max="1" width="22" customWidth="1"/>
    <col min="2" max="2" width="24" customWidth="1"/>
    <col min="3" max="3" width="44" customWidth="1"/>
    <col min="4" max="6" width="14" customWidth="1"/>
    <col min="7" max="7" width="50" customWidth="1"/>
  </cols>
  <sheetData>
    <row r="1" spans="1:7" ht="24" customHeight="1" x14ac:dyDescent="0.35">
      <c r="A1" s="6" t="s">
        <v>114</v>
      </c>
      <c r="B1" s="6"/>
      <c r="C1" s="6"/>
      <c r="D1" s="6"/>
      <c r="E1" s="6"/>
      <c r="F1" s="6"/>
      <c r="G1" s="6"/>
    </row>
    <row r="2" spans="1:7" ht="45" customHeight="1" x14ac:dyDescent="0.35">
      <c r="A2" s="7" t="s">
        <v>115</v>
      </c>
      <c r="B2" s="7"/>
      <c r="C2" s="7"/>
      <c r="D2" s="7"/>
      <c r="E2" s="7"/>
      <c r="F2" s="7"/>
      <c r="G2" s="7"/>
    </row>
    <row r="3" spans="1:7" x14ac:dyDescent="0.35">
      <c r="A3" s="2" t="s">
        <v>26</v>
      </c>
      <c r="B3" s="2" t="s">
        <v>116</v>
      </c>
      <c r="C3" s="2" t="s">
        <v>4</v>
      </c>
      <c r="D3" s="2" t="s">
        <v>117</v>
      </c>
      <c r="E3" s="2" t="s">
        <v>118</v>
      </c>
      <c r="F3" s="2" t="s">
        <v>119</v>
      </c>
      <c r="G3" s="2" t="s">
        <v>120</v>
      </c>
    </row>
    <row r="4" spans="1:7" ht="25" x14ac:dyDescent="0.35">
      <c r="A4" s="1" t="s">
        <v>11</v>
      </c>
      <c r="B4" s="1" t="s">
        <v>121</v>
      </c>
      <c r="C4" s="1" t="s">
        <v>122</v>
      </c>
      <c r="D4" s="1">
        <v>3</v>
      </c>
      <c r="E4" s="1">
        <v>1</v>
      </c>
      <c r="F4" s="3">
        <v>0.33300000000000002</v>
      </c>
      <c r="G4" s="1"/>
    </row>
    <row r="5" spans="1:7" ht="37.5" x14ac:dyDescent="0.35">
      <c r="A5" s="1" t="s">
        <v>11</v>
      </c>
      <c r="B5" s="1" t="s">
        <v>123</v>
      </c>
      <c r="C5" s="1" t="s">
        <v>124</v>
      </c>
      <c r="D5" s="1">
        <v>3</v>
      </c>
      <c r="E5" s="1">
        <v>2</v>
      </c>
      <c r="F5" s="3">
        <v>0.66700000000000004</v>
      </c>
      <c r="G5" s="1"/>
    </row>
    <row r="6" spans="1:7" x14ac:dyDescent="0.35">
      <c r="A6" s="1" t="s">
        <v>11</v>
      </c>
      <c r="B6" s="1" t="s">
        <v>125</v>
      </c>
      <c r="C6" s="1" t="s">
        <v>126</v>
      </c>
      <c r="D6" s="1">
        <v>3</v>
      </c>
      <c r="E6" s="1">
        <v>1</v>
      </c>
      <c r="F6" s="3">
        <v>0.33300000000000002</v>
      </c>
      <c r="G6" s="1"/>
    </row>
    <row r="7" spans="1:7" x14ac:dyDescent="0.35">
      <c r="A7" s="1" t="s">
        <v>11</v>
      </c>
      <c r="B7" s="1" t="s">
        <v>127</v>
      </c>
      <c r="C7" s="1" t="s">
        <v>128</v>
      </c>
      <c r="D7" s="1">
        <v>3</v>
      </c>
      <c r="E7" s="1">
        <v>2</v>
      </c>
      <c r="F7" s="3">
        <v>0.66700000000000004</v>
      </c>
      <c r="G7" s="1"/>
    </row>
    <row r="8" spans="1:7" ht="25" x14ac:dyDescent="0.35">
      <c r="A8" s="1" t="s">
        <v>14</v>
      </c>
      <c r="B8" s="1" t="s">
        <v>121</v>
      </c>
      <c r="C8" s="1" t="s">
        <v>129</v>
      </c>
      <c r="D8" s="1">
        <v>2</v>
      </c>
      <c r="E8" s="1">
        <v>2</v>
      </c>
      <c r="F8" s="3">
        <v>1</v>
      </c>
      <c r="G8" s="1"/>
    </row>
    <row r="9" spans="1:7" ht="37.5" x14ac:dyDescent="0.35">
      <c r="A9" s="1" t="s">
        <v>14</v>
      </c>
      <c r="B9" s="1" t="s">
        <v>123</v>
      </c>
      <c r="C9" s="1" t="s">
        <v>130</v>
      </c>
      <c r="D9" s="1">
        <v>2</v>
      </c>
      <c r="E9" s="1">
        <v>2</v>
      </c>
      <c r="F9" s="3">
        <v>1</v>
      </c>
      <c r="G9" s="1"/>
    </row>
    <row r="10" spans="1:7" x14ac:dyDescent="0.35">
      <c r="A10" s="1" t="s">
        <v>14</v>
      </c>
      <c r="B10" s="1" t="s">
        <v>125</v>
      </c>
      <c r="C10" s="1" t="s">
        <v>126</v>
      </c>
      <c r="D10" s="1">
        <v>2</v>
      </c>
      <c r="E10" s="1">
        <v>2</v>
      </c>
      <c r="F10" s="3">
        <v>1</v>
      </c>
      <c r="G10" s="1"/>
    </row>
    <row r="11" spans="1:7" x14ac:dyDescent="0.35">
      <c r="A11" s="1" t="s">
        <v>17</v>
      </c>
      <c r="B11" s="1" t="s">
        <v>121</v>
      </c>
      <c r="C11" s="1" t="s">
        <v>131</v>
      </c>
      <c r="D11" s="1">
        <v>4</v>
      </c>
      <c r="E11" s="1">
        <v>2</v>
      </c>
      <c r="F11" s="3">
        <v>0.5</v>
      </c>
      <c r="G11" s="1"/>
    </row>
    <row r="12" spans="1:7" x14ac:dyDescent="0.35">
      <c r="A12" s="1" t="s">
        <v>17</v>
      </c>
      <c r="B12" s="1" t="s">
        <v>132</v>
      </c>
      <c r="C12" s="1" t="s">
        <v>133</v>
      </c>
      <c r="D12" s="1">
        <v>4</v>
      </c>
      <c r="E12" s="1">
        <v>3</v>
      </c>
      <c r="F12" s="3">
        <v>0.75</v>
      </c>
      <c r="G12" s="1"/>
    </row>
    <row r="13" spans="1:7" x14ac:dyDescent="0.35">
      <c r="A13" s="1" t="s">
        <v>17</v>
      </c>
      <c r="B13" s="1" t="s">
        <v>134</v>
      </c>
      <c r="C13" s="1" t="s">
        <v>135</v>
      </c>
      <c r="D13" s="1">
        <v>4</v>
      </c>
      <c r="E13" s="1">
        <v>2</v>
      </c>
      <c r="F13" s="3">
        <v>0.5</v>
      </c>
      <c r="G13" s="1"/>
    </row>
    <row r="14" spans="1:7" x14ac:dyDescent="0.35">
      <c r="A14" s="1" t="s">
        <v>17</v>
      </c>
      <c r="B14" s="1" t="s">
        <v>136</v>
      </c>
      <c r="C14" s="1" t="s">
        <v>137</v>
      </c>
      <c r="D14" s="1">
        <v>4</v>
      </c>
      <c r="E14" s="1">
        <v>3</v>
      </c>
      <c r="F14" s="3">
        <v>0.75</v>
      </c>
      <c r="G14" s="1"/>
    </row>
    <row r="15" spans="1:7" ht="25" x14ac:dyDescent="0.35">
      <c r="A15" s="1" t="s">
        <v>20</v>
      </c>
      <c r="B15" s="1" t="s">
        <v>138</v>
      </c>
      <c r="C15" s="1" t="s">
        <v>139</v>
      </c>
      <c r="D15" s="1">
        <v>3</v>
      </c>
      <c r="E15" s="1">
        <v>0</v>
      </c>
      <c r="F15" s="3">
        <v>0</v>
      </c>
      <c r="G15" s="1"/>
    </row>
  </sheetData>
  <autoFilter ref="A3:G15" xr:uid="{00000000-0009-0000-0000-000002000000}"/>
  <mergeCells count="2">
    <mergeCell ref="A2:G2"/>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
  <sheetViews>
    <sheetView showGridLines="0" workbookViewId="0">
      <pane ySplit="3" topLeftCell="A4" activePane="bottomLeft" state="frozen"/>
      <selection pane="bottomLeft"/>
    </sheetView>
  </sheetViews>
  <sheetFormatPr defaultRowHeight="14.5" x14ac:dyDescent="0.35"/>
  <cols>
    <col min="1" max="1" width="26" customWidth="1"/>
    <col min="2" max="2" width="40" customWidth="1"/>
    <col min="3" max="3" width="44" customWidth="1"/>
    <col min="4" max="4" width="60" customWidth="1"/>
    <col min="5" max="6" width="14" customWidth="1"/>
  </cols>
  <sheetData>
    <row r="1" spans="1:6" ht="24" customHeight="1" x14ac:dyDescent="0.35">
      <c r="A1" s="6" t="s">
        <v>140</v>
      </c>
      <c r="B1" s="6"/>
      <c r="C1" s="6"/>
      <c r="D1" s="6"/>
      <c r="E1" s="6"/>
      <c r="F1" s="6"/>
    </row>
    <row r="2" spans="1:6" ht="45" customHeight="1" x14ac:dyDescent="0.35">
      <c r="A2" s="7" t="s">
        <v>141</v>
      </c>
      <c r="B2" s="7"/>
      <c r="C2" s="7"/>
      <c r="D2" s="7"/>
      <c r="E2" s="7"/>
      <c r="F2" s="7"/>
    </row>
    <row r="3" spans="1:6" x14ac:dyDescent="0.35">
      <c r="A3" s="2" t="s">
        <v>142</v>
      </c>
      <c r="B3" s="2" t="s">
        <v>143</v>
      </c>
      <c r="C3" s="2" t="s">
        <v>144</v>
      </c>
      <c r="D3" s="2" t="s">
        <v>145</v>
      </c>
      <c r="E3" s="2" t="s">
        <v>40</v>
      </c>
      <c r="F3" s="2" t="s">
        <v>42</v>
      </c>
    </row>
    <row r="4" spans="1:6" x14ac:dyDescent="0.35">
      <c r="A4" s="1" t="s">
        <v>146</v>
      </c>
      <c r="B4" s="1" t="s">
        <v>147</v>
      </c>
      <c r="C4" s="1" t="s">
        <v>126</v>
      </c>
      <c r="D4" s="1" t="s">
        <v>47</v>
      </c>
      <c r="E4" s="1"/>
      <c r="F4" s="1"/>
    </row>
    <row r="5" spans="1:6" ht="25" x14ac:dyDescent="0.35">
      <c r="A5" s="1" t="s">
        <v>148</v>
      </c>
      <c r="B5" s="1" t="s">
        <v>149</v>
      </c>
      <c r="C5" s="1" t="s">
        <v>131</v>
      </c>
      <c r="D5" s="1" t="s">
        <v>91</v>
      </c>
      <c r="E5" s="1"/>
      <c r="F5" s="1"/>
    </row>
    <row r="6" spans="1:6" x14ac:dyDescent="0.35">
      <c r="A6" s="1" t="s">
        <v>148</v>
      </c>
      <c r="B6" s="1" t="s">
        <v>150</v>
      </c>
      <c r="C6" s="1" t="s">
        <v>133</v>
      </c>
      <c r="D6" s="1" t="s">
        <v>91</v>
      </c>
      <c r="E6" s="1"/>
      <c r="F6" s="1"/>
    </row>
    <row r="7" spans="1:6" x14ac:dyDescent="0.35">
      <c r="A7" s="1" t="s">
        <v>148</v>
      </c>
      <c r="B7" s="1" t="s">
        <v>151</v>
      </c>
      <c r="C7" s="1" t="s">
        <v>135</v>
      </c>
      <c r="D7" s="1" t="s">
        <v>91</v>
      </c>
      <c r="E7" s="1"/>
      <c r="F7" s="1"/>
    </row>
  </sheetData>
  <autoFilter ref="A3:F7" xr:uid="{00000000-0009-0000-0000-000003000000}"/>
  <mergeCells count="2">
    <mergeCell ref="A2:F2"/>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
  <sheetViews>
    <sheetView showGridLines="0" workbookViewId="0">
      <pane ySplit="3" topLeftCell="A4" activePane="bottomLeft" state="frozen"/>
      <selection pane="bottomLeft"/>
    </sheetView>
  </sheetViews>
  <sheetFormatPr defaultRowHeight="14.5" x14ac:dyDescent="0.35"/>
  <cols>
    <col min="1" max="1" width="22" customWidth="1"/>
    <col min="2" max="2" width="26" customWidth="1"/>
    <col min="3" max="4" width="14" customWidth="1"/>
    <col min="5" max="5" width="60" customWidth="1"/>
    <col min="6" max="6" width="50" customWidth="1"/>
  </cols>
  <sheetData>
    <row r="1" spans="1:6" ht="24" customHeight="1" x14ac:dyDescent="0.35">
      <c r="A1" s="6" t="s">
        <v>152</v>
      </c>
      <c r="B1" s="6"/>
      <c r="C1" s="6"/>
      <c r="D1" s="6"/>
      <c r="E1" s="6"/>
      <c r="F1" s="6"/>
    </row>
    <row r="2" spans="1:6" ht="45" customHeight="1" x14ac:dyDescent="0.35">
      <c r="A2" s="7" t="s">
        <v>153</v>
      </c>
      <c r="B2" s="7"/>
      <c r="C2" s="7"/>
      <c r="D2" s="7"/>
      <c r="E2" s="7"/>
      <c r="F2" s="7"/>
    </row>
    <row r="3" spans="1:6" x14ac:dyDescent="0.35">
      <c r="A3" s="2" t="s">
        <v>26</v>
      </c>
      <c r="B3" s="2" t="s">
        <v>154</v>
      </c>
      <c r="C3" s="2" t="s">
        <v>5</v>
      </c>
      <c r="D3" s="2" t="s">
        <v>155</v>
      </c>
      <c r="E3" s="2" t="s">
        <v>120</v>
      </c>
      <c r="F3" s="2" t="s">
        <v>156</v>
      </c>
    </row>
    <row r="4" spans="1:6" ht="50" x14ac:dyDescent="0.35">
      <c r="A4" s="1" t="s">
        <v>11</v>
      </c>
      <c r="B4" s="1" t="s">
        <v>157</v>
      </c>
      <c r="C4" s="1">
        <v>0</v>
      </c>
      <c r="D4" s="1">
        <v>3</v>
      </c>
      <c r="E4" s="1" t="s">
        <v>158</v>
      </c>
      <c r="F4" s="1" t="s">
        <v>159</v>
      </c>
    </row>
    <row r="5" spans="1:6" x14ac:dyDescent="0.35">
      <c r="A5" s="1" t="s">
        <v>11</v>
      </c>
      <c r="B5" s="1" t="s">
        <v>160</v>
      </c>
      <c r="C5" s="1"/>
      <c r="D5" s="1">
        <v>3</v>
      </c>
      <c r="E5" s="1" t="s">
        <v>161</v>
      </c>
      <c r="F5" s="1" t="s">
        <v>162</v>
      </c>
    </row>
    <row r="6" spans="1:6" x14ac:dyDescent="0.35">
      <c r="A6" s="1" t="s">
        <v>14</v>
      </c>
      <c r="B6" s="1" t="s">
        <v>160</v>
      </c>
      <c r="C6" s="1"/>
      <c r="D6" s="1">
        <v>2</v>
      </c>
      <c r="E6" s="1" t="s">
        <v>161</v>
      </c>
      <c r="F6" s="1" t="s">
        <v>162</v>
      </c>
    </row>
    <row r="7" spans="1:6" ht="25" x14ac:dyDescent="0.35">
      <c r="A7" s="1" t="s">
        <v>17</v>
      </c>
      <c r="B7" s="1" t="s">
        <v>163</v>
      </c>
      <c r="C7" s="1">
        <v>1</v>
      </c>
      <c r="D7" s="1">
        <v>4</v>
      </c>
      <c r="E7" s="1" t="s">
        <v>164</v>
      </c>
      <c r="F7" s="1" t="s">
        <v>165</v>
      </c>
    </row>
    <row r="8" spans="1:6" ht="25" x14ac:dyDescent="0.35">
      <c r="A8" s="1" t="s">
        <v>20</v>
      </c>
      <c r="B8" s="1" t="s">
        <v>160</v>
      </c>
      <c r="C8" s="1"/>
      <c r="D8" s="1">
        <v>4</v>
      </c>
      <c r="E8" s="1" t="s">
        <v>166</v>
      </c>
      <c r="F8" s="1" t="s">
        <v>162</v>
      </c>
    </row>
  </sheetData>
  <autoFilter ref="A3:F8" xr:uid="{00000000-0009-0000-0000-000004000000}"/>
  <mergeCells count="2">
    <mergeCell ref="A2:F2"/>
    <mergeCell ref="A1:F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4"/>
  <sheetViews>
    <sheetView showGridLines="0" workbookViewId="0">
      <pane ySplit="3" topLeftCell="A4" activePane="bottomLeft" state="frozen"/>
      <selection pane="bottomLeft"/>
    </sheetView>
  </sheetViews>
  <sheetFormatPr defaultRowHeight="14.5" x14ac:dyDescent="0.35"/>
  <cols>
    <col min="1" max="1" width="34" customWidth="1"/>
    <col min="2" max="2" width="16" customWidth="1"/>
    <col min="3" max="3" width="14" customWidth="1"/>
    <col min="4" max="4" width="18" customWidth="1"/>
    <col min="5" max="5" width="14" customWidth="1"/>
  </cols>
  <sheetData>
    <row r="1" spans="1:5" ht="24" customHeight="1" x14ac:dyDescent="0.35">
      <c r="A1" s="6" t="s">
        <v>167</v>
      </c>
      <c r="B1" s="6"/>
      <c r="C1" s="6"/>
      <c r="D1" s="6"/>
      <c r="E1" s="6"/>
    </row>
    <row r="2" spans="1:5" ht="45" customHeight="1" x14ac:dyDescent="0.35">
      <c r="A2" s="7" t="s">
        <v>168</v>
      </c>
      <c r="B2" s="7"/>
      <c r="C2" s="7"/>
      <c r="D2" s="7"/>
      <c r="E2" s="7"/>
    </row>
    <row r="3" spans="1:5" x14ac:dyDescent="0.35">
      <c r="A3" s="2" t="s">
        <v>169</v>
      </c>
      <c r="B3" s="2" t="s">
        <v>3</v>
      </c>
      <c r="C3" s="2" t="s">
        <v>170</v>
      </c>
      <c r="D3" s="2" t="s">
        <v>171</v>
      </c>
      <c r="E3" s="2"/>
    </row>
    <row r="4" spans="1:5" x14ac:dyDescent="0.35">
      <c r="A4" s="1" t="s">
        <v>172</v>
      </c>
      <c r="B4" s="1">
        <v>2</v>
      </c>
      <c r="C4" s="1">
        <v>2</v>
      </c>
      <c r="D4" s="3">
        <v>1</v>
      </c>
      <c r="E4" s="1"/>
    </row>
    <row r="5" spans="1:5" x14ac:dyDescent="0.35">
      <c r="A5" s="1" t="s">
        <v>173</v>
      </c>
      <c r="B5" s="1">
        <v>1</v>
      </c>
      <c r="C5" s="1">
        <v>1</v>
      </c>
      <c r="D5" s="3">
        <v>1</v>
      </c>
      <c r="E5" s="1"/>
    </row>
    <row r="6" spans="1:5" x14ac:dyDescent="0.35">
      <c r="A6" s="1" t="s">
        <v>174</v>
      </c>
      <c r="B6" s="1">
        <v>6</v>
      </c>
      <c r="C6" s="1">
        <v>1</v>
      </c>
      <c r="D6" s="3">
        <v>0.16700000000000001</v>
      </c>
      <c r="E6" s="1"/>
    </row>
    <row r="7" spans="1:5" x14ac:dyDescent="0.35">
      <c r="A7" s="1"/>
      <c r="B7" s="1"/>
      <c r="C7" s="1"/>
      <c r="D7" s="1"/>
      <c r="E7" s="1"/>
    </row>
    <row r="8" spans="1:5" x14ac:dyDescent="0.35">
      <c r="A8" s="5" t="s">
        <v>175</v>
      </c>
      <c r="B8" s="5" t="s">
        <v>3</v>
      </c>
      <c r="C8" s="5" t="s">
        <v>170</v>
      </c>
      <c r="D8" s="5" t="s">
        <v>171</v>
      </c>
      <c r="E8" s="1"/>
    </row>
    <row r="9" spans="1:5" x14ac:dyDescent="0.35">
      <c r="A9" s="1" t="s">
        <v>49</v>
      </c>
      <c r="B9" s="1">
        <v>3</v>
      </c>
      <c r="C9" s="1">
        <v>2</v>
      </c>
      <c r="D9" s="3">
        <v>0.66700000000000004</v>
      </c>
      <c r="E9" s="1"/>
    </row>
    <row r="10" spans="1:5" x14ac:dyDescent="0.35">
      <c r="A10" s="1" t="s">
        <v>92</v>
      </c>
      <c r="B10" s="1">
        <v>2</v>
      </c>
      <c r="C10" s="1">
        <v>1</v>
      </c>
      <c r="D10" s="3">
        <v>0.5</v>
      </c>
      <c r="E10" s="1"/>
    </row>
    <row r="11" spans="1:5" x14ac:dyDescent="0.35">
      <c r="A11" s="1" t="s">
        <v>61</v>
      </c>
      <c r="B11" s="1">
        <v>3</v>
      </c>
      <c r="C11" s="1">
        <v>1</v>
      </c>
      <c r="D11" s="3">
        <v>0.33300000000000002</v>
      </c>
      <c r="E11" s="1"/>
    </row>
    <row r="12" spans="1:5" x14ac:dyDescent="0.35">
      <c r="A12" s="1" t="s">
        <v>176</v>
      </c>
      <c r="B12" s="1">
        <v>1</v>
      </c>
      <c r="C12" s="1">
        <v>0</v>
      </c>
      <c r="D12" s="3">
        <v>0</v>
      </c>
      <c r="E12" s="1"/>
    </row>
    <row r="13" spans="1:5" x14ac:dyDescent="0.35">
      <c r="A13" s="1"/>
      <c r="B13" s="1"/>
      <c r="C13" s="1"/>
      <c r="D13" s="1"/>
      <c r="E13" s="1"/>
    </row>
    <row r="14" spans="1:5" x14ac:dyDescent="0.35">
      <c r="A14" s="5" t="s">
        <v>177</v>
      </c>
      <c r="B14" s="5" t="s">
        <v>3</v>
      </c>
      <c r="C14" s="5" t="s">
        <v>170</v>
      </c>
      <c r="D14" s="5" t="s">
        <v>171</v>
      </c>
      <c r="E14" s="1"/>
    </row>
    <row r="15" spans="1:5" x14ac:dyDescent="0.35">
      <c r="A15" s="1" t="s">
        <v>178</v>
      </c>
      <c r="B15" s="1">
        <v>2</v>
      </c>
      <c r="C15" s="1">
        <v>1</v>
      </c>
      <c r="D15" s="3">
        <v>0.5</v>
      </c>
      <c r="E15" s="1"/>
    </row>
    <row r="16" spans="1:5" x14ac:dyDescent="0.35">
      <c r="A16" s="1" t="s">
        <v>179</v>
      </c>
      <c r="B16" s="1">
        <v>7</v>
      </c>
      <c r="C16" s="1">
        <v>3</v>
      </c>
      <c r="D16" s="3">
        <v>0.42899999999999999</v>
      </c>
      <c r="E16" s="1"/>
    </row>
    <row r="17" spans="1:5" x14ac:dyDescent="0.35">
      <c r="A17" s="1"/>
      <c r="B17" s="1"/>
      <c r="C17" s="1"/>
      <c r="D17" s="1"/>
      <c r="E17" s="1"/>
    </row>
    <row r="18" spans="1:5" x14ac:dyDescent="0.35">
      <c r="A18" s="5" t="s">
        <v>180</v>
      </c>
      <c r="B18" s="5" t="s">
        <v>3</v>
      </c>
      <c r="C18" s="5" t="s">
        <v>181</v>
      </c>
      <c r="D18" s="5" t="s">
        <v>171</v>
      </c>
      <c r="E18" s="1"/>
    </row>
    <row r="19" spans="1:5" x14ac:dyDescent="0.35">
      <c r="A19" s="1" t="s">
        <v>182</v>
      </c>
      <c r="B19" s="1">
        <v>1</v>
      </c>
      <c r="C19" s="1">
        <v>0</v>
      </c>
      <c r="D19" s="3">
        <v>0</v>
      </c>
      <c r="E19" s="1"/>
    </row>
    <row r="20" spans="1:5" x14ac:dyDescent="0.35">
      <c r="A20" s="1" t="s">
        <v>183</v>
      </c>
      <c r="B20" s="1">
        <v>1</v>
      </c>
      <c r="C20" s="1">
        <v>1</v>
      </c>
      <c r="D20" s="3">
        <v>1</v>
      </c>
      <c r="E20" s="1"/>
    </row>
    <row r="21" spans="1:5" x14ac:dyDescent="0.35">
      <c r="A21" s="1" t="s">
        <v>184</v>
      </c>
      <c r="B21" s="1">
        <v>1</v>
      </c>
      <c r="C21" s="1">
        <v>1</v>
      </c>
      <c r="D21" s="3">
        <v>1</v>
      </c>
      <c r="E21" s="1"/>
    </row>
    <row r="22" spans="1:5" x14ac:dyDescent="0.35">
      <c r="A22" s="1" t="s">
        <v>185</v>
      </c>
      <c r="B22" s="1">
        <v>1</v>
      </c>
      <c r="C22" s="1">
        <v>0</v>
      </c>
      <c r="D22" s="3">
        <v>0</v>
      </c>
      <c r="E22" s="1"/>
    </row>
    <row r="23" spans="1:5" x14ac:dyDescent="0.35">
      <c r="A23" s="1"/>
      <c r="B23" s="1"/>
      <c r="C23" s="1"/>
      <c r="D23" s="1"/>
      <c r="E23" s="1"/>
    </row>
    <row r="24" spans="1:5" x14ac:dyDescent="0.35">
      <c r="A24" s="5" t="s">
        <v>186</v>
      </c>
      <c r="B24" s="5" t="s">
        <v>3</v>
      </c>
      <c r="C24" s="5" t="s">
        <v>181</v>
      </c>
      <c r="D24" s="5" t="s">
        <v>171</v>
      </c>
      <c r="E24" s="1"/>
    </row>
    <row r="25" spans="1:5" x14ac:dyDescent="0.35">
      <c r="A25" s="1" t="s">
        <v>49</v>
      </c>
      <c r="B25" s="1">
        <v>3</v>
      </c>
      <c r="C25" s="1">
        <v>3</v>
      </c>
      <c r="D25" s="3">
        <v>1</v>
      </c>
      <c r="E25" s="1"/>
    </row>
    <row r="26" spans="1:5" x14ac:dyDescent="0.35">
      <c r="A26" s="1" t="s">
        <v>92</v>
      </c>
      <c r="B26" s="1">
        <v>2</v>
      </c>
      <c r="C26" s="1">
        <v>1</v>
      </c>
      <c r="D26" s="3">
        <v>0.5</v>
      </c>
      <c r="E26" s="1"/>
    </row>
    <row r="27" spans="1:5" x14ac:dyDescent="0.35">
      <c r="A27" s="1" t="s">
        <v>61</v>
      </c>
      <c r="B27" s="1">
        <v>3</v>
      </c>
      <c r="C27" s="1">
        <v>1</v>
      </c>
      <c r="D27" s="3">
        <v>0.33300000000000002</v>
      </c>
      <c r="E27" s="1"/>
    </row>
    <row r="28" spans="1:5" x14ac:dyDescent="0.35">
      <c r="A28" s="1" t="s">
        <v>176</v>
      </c>
      <c r="B28" s="1">
        <v>1</v>
      </c>
      <c r="C28" s="1">
        <v>0</v>
      </c>
      <c r="D28" s="3">
        <v>0</v>
      </c>
      <c r="E28" s="1"/>
    </row>
    <row r="29" spans="1:5" x14ac:dyDescent="0.35">
      <c r="A29" s="1"/>
      <c r="B29" s="1"/>
      <c r="C29" s="1"/>
      <c r="D29" s="1"/>
      <c r="E29" s="1"/>
    </row>
    <row r="30" spans="1:5" x14ac:dyDescent="0.35">
      <c r="A30" s="5" t="s">
        <v>187</v>
      </c>
      <c r="B30" s="5" t="s">
        <v>188</v>
      </c>
      <c r="C30" s="5" t="s">
        <v>189</v>
      </c>
      <c r="D30" s="5" t="s">
        <v>190</v>
      </c>
      <c r="E30" s="5" t="s">
        <v>189</v>
      </c>
    </row>
    <row r="31" spans="1:5" x14ac:dyDescent="0.35">
      <c r="A31" s="1" t="s">
        <v>11</v>
      </c>
      <c r="B31" s="1">
        <v>1</v>
      </c>
      <c r="C31" s="1">
        <v>1</v>
      </c>
      <c r="D31" s="1">
        <v>2</v>
      </c>
      <c r="E31" s="1">
        <v>2</v>
      </c>
    </row>
    <row r="32" spans="1:5" x14ac:dyDescent="0.35">
      <c r="A32" s="1" t="s">
        <v>14</v>
      </c>
      <c r="B32" s="1">
        <v>2</v>
      </c>
      <c r="C32" s="1">
        <v>0</v>
      </c>
      <c r="D32" s="1">
        <v>0</v>
      </c>
      <c r="E32" s="1">
        <v>0</v>
      </c>
    </row>
    <row r="33" spans="1:5" x14ac:dyDescent="0.35">
      <c r="A33" s="1" t="s">
        <v>17</v>
      </c>
      <c r="B33" s="1">
        <v>3</v>
      </c>
      <c r="C33" s="1">
        <v>1</v>
      </c>
      <c r="D33" s="1">
        <v>1</v>
      </c>
      <c r="E33" s="1">
        <v>1</v>
      </c>
    </row>
    <row r="34" spans="1:5" x14ac:dyDescent="0.35">
      <c r="A34" s="1" t="s">
        <v>22</v>
      </c>
      <c r="B34" s="1">
        <v>6</v>
      </c>
      <c r="C34" s="1">
        <v>2</v>
      </c>
      <c r="D34" s="1">
        <v>3</v>
      </c>
      <c r="E34" s="1">
        <v>3</v>
      </c>
    </row>
  </sheetData>
  <autoFilter ref="A3:D6" xr:uid="{00000000-0009-0000-0000-000005000000}"/>
  <mergeCells count="2">
    <mergeCell ref="A2:E2"/>
    <mergeCell ref="A1:E1"/>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3"/>
  <sheetViews>
    <sheetView showGridLines="0" workbookViewId="0">
      <pane ySplit="3" topLeftCell="A4" activePane="bottomLeft" state="frozen"/>
      <selection pane="bottomLeft"/>
    </sheetView>
  </sheetViews>
  <sheetFormatPr defaultRowHeight="14.5" x14ac:dyDescent="0.35"/>
  <cols>
    <col min="1" max="1" width="10" customWidth="1"/>
    <col min="2" max="2" width="120" customWidth="1"/>
  </cols>
  <sheetData>
    <row r="1" spans="1:2" ht="24" customHeight="1" x14ac:dyDescent="0.35">
      <c r="A1" s="6" t="s">
        <v>191</v>
      </c>
      <c r="B1" s="6"/>
    </row>
    <row r="2" spans="1:2" ht="45" customHeight="1" x14ac:dyDescent="0.35">
      <c r="A2" s="7" t="s">
        <v>192</v>
      </c>
      <c r="B2" s="7"/>
    </row>
    <row r="3" spans="1:2" x14ac:dyDescent="0.35">
      <c r="A3" s="2" t="s">
        <v>193</v>
      </c>
      <c r="B3" s="2" t="s">
        <v>120</v>
      </c>
    </row>
    <row r="4" spans="1:2" ht="37.5" x14ac:dyDescent="0.35">
      <c r="A4" s="1" t="s">
        <v>194</v>
      </c>
      <c r="B4" s="1" t="s">
        <v>195</v>
      </c>
    </row>
    <row r="5" spans="1:2" x14ac:dyDescent="0.35">
      <c r="A5" s="1" t="s">
        <v>194</v>
      </c>
      <c r="B5" s="1" t="s">
        <v>196</v>
      </c>
    </row>
    <row r="6" spans="1:2" x14ac:dyDescent="0.35">
      <c r="A6" s="1" t="s">
        <v>194</v>
      </c>
      <c r="B6" s="1" t="s">
        <v>197</v>
      </c>
    </row>
    <row r="7" spans="1:2" x14ac:dyDescent="0.35">
      <c r="A7" s="1" t="s">
        <v>194</v>
      </c>
      <c r="B7" s="1" t="s">
        <v>198</v>
      </c>
    </row>
    <row r="8" spans="1:2" x14ac:dyDescent="0.35">
      <c r="A8" s="1" t="s">
        <v>199</v>
      </c>
      <c r="B8" s="1" t="s">
        <v>200</v>
      </c>
    </row>
    <row r="9" spans="1:2" x14ac:dyDescent="0.35">
      <c r="A9" s="1" t="s">
        <v>199</v>
      </c>
      <c r="B9" s="1" t="s">
        <v>201</v>
      </c>
    </row>
    <row r="10" spans="1:2" x14ac:dyDescent="0.35">
      <c r="A10" s="1" t="s">
        <v>199</v>
      </c>
      <c r="B10" s="1" t="s">
        <v>202</v>
      </c>
    </row>
    <row r="11" spans="1:2" x14ac:dyDescent="0.35">
      <c r="A11" s="1" t="s">
        <v>199</v>
      </c>
      <c r="B11" s="1" t="s">
        <v>203</v>
      </c>
    </row>
    <row r="12" spans="1:2" x14ac:dyDescent="0.35">
      <c r="A12" s="1" t="s">
        <v>199</v>
      </c>
      <c r="B12" s="1" t="s">
        <v>204</v>
      </c>
    </row>
    <row r="13" spans="1:2" x14ac:dyDescent="0.35">
      <c r="A13" s="1" t="s">
        <v>199</v>
      </c>
      <c r="B13" s="1" t="s">
        <v>205</v>
      </c>
    </row>
  </sheetData>
  <autoFilter ref="A3:B13" xr:uid="{00000000-0009-0000-0000-000006000000}"/>
  <mergeCells count="2">
    <mergeCell ref="A2:B2"/>
    <mergeCell ref="A1:B1"/>
  </mergeCells>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概览</vt:lpstr>
      <vt:lpstr>偏差明细</vt:lpstr>
      <vt:lpstr>各属性采用情况</vt:lpstr>
      <vt:lpstr>模板修正</vt:lpstr>
      <vt:lpstr>共同缺口</vt:lpstr>
      <vt:lpstr>规律分析</vt:lpstr>
      <vt:lpstr>方法与局限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Zhou</cp:lastModifiedBy>
  <dcterms:created xsi:type="dcterms:W3CDTF">2026-10-27T11:08:11Z</dcterms:created>
  <dcterms:modified xsi:type="dcterms:W3CDTF">2026-10-27T11:08:16Z</dcterms:modified>
</cp:coreProperties>
</file>